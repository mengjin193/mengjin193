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mainstreamswimsuits-my.sharepoint.com/personal/msun_swimusa_com/Documents/Projects/"/>
    </mc:Choice>
  </mc:AlternateContent>
  <xr:revisionPtr revIDLastSave="395" documentId="8_{2C610227-E82A-4A1C-857A-ABF88A307CEE}" xr6:coauthVersionLast="47" xr6:coauthVersionMax="47" xr10:uidLastSave="{D0237429-E28C-4689-8945-6080279BA40B}"/>
  <bookViews>
    <workbookView xWindow="-28920" yWindow="-1020" windowWidth="29040" windowHeight="15720" xr2:uid="{00000000-000D-0000-FFFF-FFFF00000000}"/>
  </bookViews>
  <sheets>
    <sheet name="S&amp;P500 2025" sheetId="3" r:id="rId1"/>
    <sheet name="Chase CD Calculator" sheetId="2" r:id="rId2"/>
    <sheet name="Client Info" sheetId="1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3" i="3" l="1"/>
  <c r="L25" i="3"/>
  <c r="L26" i="3"/>
  <c r="L32" i="3"/>
  <c r="L33" i="3"/>
  <c r="L39" i="3"/>
  <c r="L40" i="3"/>
  <c r="L41" i="3"/>
  <c r="L46" i="3"/>
  <c r="L47" i="3"/>
  <c r="L51" i="3"/>
  <c r="L52" i="3"/>
  <c r="L53" i="3"/>
  <c r="J23" i="3"/>
  <c r="J24" i="3"/>
  <c r="L24" i="3" s="1"/>
  <c r="J25" i="3"/>
  <c r="J26" i="3"/>
  <c r="J27" i="3"/>
  <c r="L27" i="3" s="1"/>
  <c r="J28" i="3"/>
  <c r="L28" i="3" s="1"/>
  <c r="J29" i="3"/>
  <c r="L29" i="3" s="1"/>
  <c r="J30" i="3"/>
  <c r="L30" i="3" s="1"/>
  <c r="J31" i="3"/>
  <c r="L31" i="3" s="1"/>
  <c r="J32" i="3"/>
  <c r="J33" i="3"/>
  <c r="J34" i="3"/>
  <c r="L34" i="3" s="1"/>
  <c r="J35" i="3"/>
  <c r="L35" i="3" s="1"/>
  <c r="J36" i="3"/>
  <c r="L36" i="3" s="1"/>
  <c r="J37" i="3"/>
  <c r="L37" i="3" s="1"/>
  <c r="J38" i="3"/>
  <c r="L38" i="3" s="1"/>
  <c r="J39" i="3"/>
  <c r="J40" i="3"/>
  <c r="J41" i="3"/>
  <c r="J42" i="3"/>
  <c r="L42" i="3" s="1"/>
  <c r="J43" i="3"/>
  <c r="L43" i="3" s="1"/>
  <c r="J44" i="3"/>
  <c r="L44" i="3" s="1"/>
  <c r="J45" i="3"/>
  <c r="L45" i="3" s="1"/>
  <c r="J46" i="3"/>
  <c r="J47" i="3"/>
  <c r="J48" i="3"/>
  <c r="L48" i="3" s="1"/>
  <c r="J49" i="3"/>
  <c r="L49" i="3" s="1"/>
  <c r="J50" i="3"/>
  <c r="L50" i="3" s="1"/>
  <c r="J51" i="3"/>
  <c r="J52" i="3"/>
  <c r="J53" i="3"/>
  <c r="B13" i="2"/>
  <c r="B11" i="2"/>
  <c r="B8" i="2"/>
  <c r="B10" i="2" s="1" a="1"/>
  <c r="B10" i="2" s="1"/>
  <c r="B1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<sst xmlns="http://schemas.openxmlformats.org/spreadsheetml/2006/main" count="80" uniqueCount="56">
  <si>
    <t>Age</t>
  </si>
  <si>
    <t>Gender</t>
  </si>
  <si>
    <t>Smoke</t>
  </si>
  <si>
    <t>Fill in the Information</t>
  </si>
  <si>
    <t>Female</t>
  </si>
  <si>
    <t>No</t>
  </si>
  <si>
    <t>Last Name</t>
  </si>
  <si>
    <t>First Name</t>
  </si>
  <si>
    <t>Joe</t>
  </si>
  <si>
    <t>Jane</t>
  </si>
  <si>
    <t>Doe</t>
  </si>
  <si>
    <t>John</t>
  </si>
  <si>
    <t>Male</t>
  </si>
  <si>
    <t>Yes</t>
  </si>
  <si>
    <t>Mike</t>
  </si>
  <si>
    <t>Davis</t>
  </si>
  <si>
    <t>3-MONTH</t>
  </si>
  <si>
    <t>5-MONTH</t>
  </si>
  <si>
    <t>10-MONTH</t>
  </si>
  <si>
    <t xml:space="preserve">$0 - $9999.99 </t>
  </si>
  <si>
    <t>$10K - $24999.99</t>
  </si>
  <si>
    <t>$25K - $49999.99</t>
  </si>
  <si>
    <t>$50K - $99999.99</t>
  </si>
  <si>
    <t>$100K - $249999.99</t>
  </si>
  <si>
    <t>$250K +</t>
  </si>
  <si>
    <t>Deposit Amount</t>
  </si>
  <si>
    <t>CD Term</t>
  </si>
  <si>
    <t>Deposit Range</t>
  </si>
  <si>
    <t>CD Length in Days</t>
  </si>
  <si>
    <t>Nominal Rate</t>
  </si>
  <si>
    <t>Yield</t>
  </si>
  <si>
    <t>CD TERM as of 1/6/26</t>
  </si>
  <si>
    <t>End Balance</t>
  </si>
  <si>
    <t>* Yahoo Finance Data are not free to download anymore, data collected in R</t>
  </si>
  <si>
    <t>Date</t>
  </si>
  <si>
    <t>GSPC.Open</t>
  </si>
  <si>
    <t>GSPC.High</t>
  </si>
  <si>
    <t>GSPC.Low</t>
  </si>
  <si>
    <t>GSPC.Close</t>
  </si>
  <si>
    <t>GSPC.Volume</t>
  </si>
  <si>
    <t>GSPC.Adjusted</t>
  </si>
  <si>
    <t>* Currency in USD</t>
  </si>
  <si>
    <t>Grand Total</t>
  </si>
  <si>
    <t>Smoke or Not</t>
  </si>
  <si>
    <t>Client %</t>
  </si>
  <si>
    <t>Futrue Date</t>
  </si>
  <si>
    <t>Predicted Adjusted Close</t>
  </si>
  <si>
    <t>Squared Error</t>
  </si>
  <si>
    <t>Actual Adjusted Close</t>
  </si>
  <si>
    <t>Sun</t>
  </si>
  <si>
    <t>Mengjin</t>
  </si>
  <si>
    <t>Alice</t>
  </si>
  <si>
    <t>Smith</t>
  </si>
  <si>
    <t>Alexa</t>
  </si>
  <si>
    <t>Amazon</t>
  </si>
  <si>
    <t>* CD Rate from Chase as of 2026-01-06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</si>
</sst>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3" fillId="3" borderId="1" applyNumberFormat="0" applyAlignment="0" applyProtection="0"/>
    <xf numFmtId="0" fontId="1" fillId="5" borderId="3" applyNumberFormat="0" applyFont="0" applyAlignment="0" applyProtection="0"/>
    <xf numFmtId="0" fontId="5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left" vertical="center"/>
    </xf>
    <xf numFmtId="44" fontId="3" fillId="3" borderId="1" xfId="2" applyNumberFormat="1" applyAlignment="1">
      <alignment horizontal="left" vertical="center"/>
    </xf>
    <xf numFmtId="0" fontId="3" fillId="3" borderId="1" xfId="2"/>
    <xf numFmtId="0" fontId="0" fillId="5" borderId="3" xfId="3" applyFont="1" applyAlignment="1">
      <alignment horizontal="left" vertical="center"/>
    </xf>
    <xf numFmtId="0" fontId="0" fillId="5" borderId="3" xfId="3" applyFont="1" applyAlignment="1">
      <alignment horizontal="center" vertical="center"/>
    </xf>
    <xf numFmtId="10" fontId="0" fillId="5" borderId="3" xfId="3" applyNumberFormat="1" applyFont="1" applyAlignment="1">
      <alignment horizontal="left" vertical="center"/>
    </xf>
    <xf numFmtId="2" fontId="4" fillId="4" borderId="2" xfId="1" applyNumberFormat="1" applyFont="1" applyFill="1" applyBorder="1"/>
    <xf numFmtId="10" fontId="0" fillId="0" borderId="0" xfId="1" applyNumberFormat="1" applyFont="1"/>
    <xf numFmtId="0" fontId="5" fillId="0" borderId="0" xfId="4"/>
    <xf numFmtId="0" fontId="6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14" fontId="0" fillId="0" borderId="0" xfId="0" applyNumberFormat="1"/>
    <xf numFmtId="0" fontId="0" fillId="2" borderId="0" xfId="0" applyFill="1" applyAlignment="1">
      <alignment horizontal="center"/>
    </xf>
  </cellXfs>
  <cellStyles count="5">
    <cellStyle name="Explanatory Text" xfId="4" builtinId="53"/>
    <cellStyle name="Input" xfId="2" builtinId="20"/>
    <cellStyle name="Normal" xfId="0" builtinId="0"/>
    <cellStyle name="Note" xfId="3" builtinId="10"/>
    <cellStyle name="Percent" xfId="1" builtinId="5"/>
  </cellStyles>
  <dxfs count="11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1.xml"/><Relationship Id="rId9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2025 S&amp;P500 Stock</a:t>
            </a:r>
            <a:r>
              <a:rPr lang="en-US" baseline="0"/>
              <a:t> Adjusted 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forward val="40"/>
            <c:dispRSqr val="1"/>
            <c:dispEq val="0"/>
            <c:trendlineLbl>
              <c:layout>
                <c:manualLayout>
                  <c:x val="8.72822089899313E-3"/>
                  <c:y val="-4.175014581510646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'S&amp;P500 2025'!$A$5:$A$253</c:f>
              <c:numCache>
                <c:formatCode>m/d/yyyy</c:formatCode>
                <c:ptCount val="249"/>
                <c:pt idx="0">
                  <c:v>45659</c:v>
                </c:pt>
                <c:pt idx="1">
                  <c:v>45660</c:v>
                </c:pt>
                <c:pt idx="2">
                  <c:v>45663</c:v>
                </c:pt>
                <c:pt idx="3">
                  <c:v>45664</c:v>
                </c:pt>
                <c:pt idx="4">
                  <c:v>45665</c:v>
                </c:pt>
                <c:pt idx="5">
                  <c:v>45667</c:v>
                </c:pt>
                <c:pt idx="6">
                  <c:v>45670</c:v>
                </c:pt>
                <c:pt idx="7">
                  <c:v>45671</c:v>
                </c:pt>
                <c:pt idx="8">
                  <c:v>45672</c:v>
                </c:pt>
                <c:pt idx="9">
                  <c:v>45673</c:v>
                </c:pt>
                <c:pt idx="10">
                  <c:v>45674</c:v>
                </c:pt>
                <c:pt idx="11">
                  <c:v>45678</c:v>
                </c:pt>
                <c:pt idx="12">
                  <c:v>45679</c:v>
                </c:pt>
                <c:pt idx="13">
                  <c:v>45680</c:v>
                </c:pt>
                <c:pt idx="14">
                  <c:v>45681</c:v>
                </c:pt>
                <c:pt idx="15">
                  <c:v>45684</c:v>
                </c:pt>
                <c:pt idx="16">
                  <c:v>45685</c:v>
                </c:pt>
                <c:pt idx="17">
                  <c:v>45686</c:v>
                </c:pt>
                <c:pt idx="18">
                  <c:v>45687</c:v>
                </c:pt>
                <c:pt idx="19">
                  <c:v>45688</c:v>
                </c:pt>
                <c:pt idx="20">
                  <c:v>45691</c:v>
                </c:pt>
                <c:pt idx="21">
                  <c:v>45692</c:v>
                </c:pt>
                <c:pt idx="22">
                  <c:v>45693</c:v>
                </c:pt>
                <c:pt idx="23">
                  <c:v>45694</c:v>
                </c:pt>
                <c:pt idx="24">
                  <c:v>45695</c:v>
                </c:pt>
                <c:pt idx="25">
                  <c:v>45698</c:v>
                </c:pt>
                <c:pt idx="26">
                  <c:v>45699</c:v>
                </c:pt>
                <c:pt idx="27">
                  <c:v>45700</c:v>
                </c:pt>
                <c:pt idx="28">
                  <c:v>45701</c:v>
                </c:pt>
                <c:pt idx="29">
                  <c:v>45702</c:v>
                </c:pt>
                <c:pt idx="30">
                  <c:v>45706</c:v>
                </c:pt>
                <c:pt idx="31">
                  <c:v>45707</c:v>
                </c:pt>
                <c:pt idx="32">
                  <c:v>45708</c:v>
                </c:pt>
                <c:pt idx="33">
                  <c:v>45709</c:v>
                </c:pt>
                <c:pt idx="34">
                  <c:v>45712</c:v>
                </c:pt>
                <c:pt idx="35">
                  <c:v>45713</c:v>
                </c:pt>
                <c:pt idx="36">
                  <c:v>45714</c:v>
                </c:pt>
                <c:pt idx="37">
                  <c:v>45715</c:v>
                </c:pt>
                <c:pt idx="38">
                  <c:v>45716</c:v>
                </c:pt>
                <c:pt idx="39">
                  <c:v>45719</c:v>
                </c:pt>
                <c:pt idx="40">
                  <c:v>45720</c:v>
                </c:pt>
                <c:pt idx="41">
                  <c:v>45721</c:v>
                </c:pt>
                <c:pt idx="42">
                  <c:v>45722</c:v>
                </c:pt>
                <c:pt idx="43">
                  <c:v>45723</c:v>
                </c:pt>
                <c:pt idx="44">
                  <c:v>45726</c:v>
                </c:pt>
                <c:pt idx="45">
                  <c:v>45727</c:v>
                </c:pt>
                <c:pt idx="46">
                  <c:v>45728</c:v>
                </c:pt>
                <c:pt idx="47">
                  <c:v>45729</c:v>
                </c:pt>
                <c:pt idx="48">
                  <c:v>45730</c:v>
                </c:pt>
                <c:pt idx="49">
                  <c:v>45733</c:v>
                </c:pt>
                <c:pt idx="50">
                  <c:v>45734</c:v>
                </c:pt>
                <c:pt idx="51">
                  <c:v>45735</c:v>
                </c:pt>
                <c:pt idx="52">
                  <c:v>45736</c:v>
                </c:pt>
                <c:pt idx="53">
                  <c:v>45737</c:v>
                </c:pt>
                <c:pt idx="54">
                  <c:v>45740</c:v>
                </c:pt>
                <c:pt idx="55">
                  <c:v>45741</c:v>
                </c:pt>
                <c:pt idx="56">
                  <c:v>45742</c:v>
                </c:pt>
                <c:pt idx="57">
                  <c:v>45743</c:v>
                </c:pt>
                <c:pt idx="58">
                  <c:v>45744</c:v>
                </c:pt>
                <c:pt idx="59">
                  <c:v>45747</c:v>
                </c:pt>
                <c:pt idx="60">
                  <c:v>45748</c:v>
                </c:pt>
                <c:pt idx="61">
                  <c:v>45749</c:v>
                </c:pt>
                <c:pt idx="62">
                  <c:v>45750</c:v>
                </c:pt>
                <c:pt idx="63">
                  <c:v>45751</c:v>
                </c:pt>
                <c:pt idx="64">
                  <c:v>45754</c:v>
                </c:pt>
                <c:pt idx="65">
                  <c:v>45755</c:v>
                </c:pt>
                <c:pt idx="66">
                  <c:v>45756</c:v>
                </c:pt>
                <c:pt idx="67">
                  <c:v>45757</c:v>
                </c:pt>
                <c:pt idx="68">
                  <c:v>45758</c:v>
                </c:pt>
                <c:pt idx="69">
                  <c:v>45761</c:v>
                </c:pt>
                <c:pt idx="70">
                  <c:v>45762</c:v>
                </c:pt>
                <c:pt idx="71">
                  <c:v>45763</c:v>
                </c:pt>
                <c:pt idx="72">
                  <c:v>45764</c:v>
                </c:pt>
                <c:pt idx="73">
                  <c:v>45768</c:v>
                </c:pt>
                <c:pt idx="74">
                  <c:v>45769</c:v>
                </c:pt>
                <c:pt idx="75">
                  <c:v>45770</c:v>
                </c:pt>
                <c:pt idx="76">
                  <c:v>45771</c:v>
                </c:pt>
                <c:pt idx="77">
                  <c:v>45772</c:v>
                </c:pt>
                <c:pt idx="78">
                  <c:v>45775</c:v>
                </c:pt>
                <c:pt idx="79">
                  <c:v>45776</c:v>
                </c:pt>
                <c:pt idx="80">
                  <c:v>45777</c:v>
                </c:pt>
                <c:pt idx="81">
                  <c:v>45778</c:v>
                </c:pt>
                <c:pt idx="82">
                  <c:v>45779</c:v>
                </c:pt>
                <c:pt idx="83">
                  <c:v>45782</c:v>
                </c:pt>
                <c:pt idx="84">
                  <c:v>45783</c:v>
                </c:pt>
                <c:pt idx="85">
                  <c:v>45784</c:v>
                </c:pt>
                <c:pt idx="86">
                  <c:v>45785</c:v>
                </c:pt>
                <c:pt idx="87">
                  <c:v>45786</c:v>
                </c:pt>
                <c:pt idx="88">
                  <c:v>45789</c:v>
                </c:pt>
                <c:pt idx="89">
                  <c:v>45790</c:v>
                </c:pt>
                <c:pt idx="90">
                  <c:v>45791</c:v>
                </c:pt>
                <c:pt idx="91">
                  <c:v>45792</c:v>
                </c:pt>
                <c:pt idx="92">
                  <c:v>45793</c:v>
                </c:pt>
                <c:pt idx="93">
                  <c:v>45796</c:v>
                </c:pt>
                <c:pt idx="94">
                  <c:v>45797</c:v>
                </c:pt>
                <c:pt idx="95">
                  <c:v>45798</c:v>
                </c:pt>
                <c:pt idx="96">
                  <c:v>45799</c:v>
                </c:pt>
                <c:pt idx="97">
                  <c:v>45800</c:v>
                </c:pt>
                <c:pt idx="98">
                  <c:v>45804</c:v>
                </c:pt>
                <c:pt idx="99">
                  <c:v>45805</c:v>
                </c:pt>
                <c:pt idx="100">
                  <c:v>45806</c:v>
                </c:pt>
                <c:pt idx="101">
                  <c:v>45807</c:v>
                </c:pt>
                <c:pt idx="102">
                  <c:v>45810</c:v>
                </c:pt>
                <c:pt idx="103">
                  <c:v>45811</c:v>
                </c:pt>
                <c:pt idx="104">
                  <c:v>45812</c:v>
                </c:pt>
                <c:pt idx="105">
                  <c:v>45813</c:v>
                </c:pt>
                <c:pt idx="106">
                  <c:v>45814</c:v>
                </c:pt>
                <c:pt idx="107">
                  <c:v>45817</c:v>
                </c:pt>
                <c:pt idx="108">
                  <c:v>45818</c:v>
                </c:pt>
                <c:pt idx="109">
                  <c:v>45819</c:v>
                </c:pt>
                <c:pt idx="110">
                  <c:v>45820</c:v>
                </c:pt>
                <c:pt idx="111">
                  <c:v>45821</c:v>
                </c:pt>
                <c:pt idx="112">
                  <c:v>45824</c:v>
                </c:pt>
                <c:pt idx="113">
                  <c:v>45825</c:v>
                </c:pt>
                <c:pt idx="114">
                  <c:v>45826</c:v>
                </c:pt>
                <c:pt idx="115">
                  <c:v>45828</c:v>
                </c:pt>
                <c:pt idx="116">
                  <c:v>45831</c:v>
                </c:pt>
                <c:pt idx="117">
                  <c:v>45832</c:v>
                </c:pt>
                <c:pt idx="118">
                  <c:v>45833</c:v>
                </c:pt>
                <c:pt idx="119">
                  <c:v>45834</c:v>
                </c:pt>
                <c:pt idx="120">
                  <c:v>45835</c:v>
                </c:pt>
                <c:pt idx="121">
                  <c:v>45838</c:v>
                </c:pt>
                <c:pt idx="122">
                  <c:v>45839</c:v>
                </c:pt>
                <c:pt idx="123">
                  <c:v>45840</c:v>
                </c:pt>
                <c:pt idx="124">
                  <c:v>45841</c:v>
                </c:pt>
                <c:pt idx="125">
                  <c:v>45845</c:v>
                </c:pt>
                <c:pt idx="126">
                  <c:v>45846</c:v>
                </c:pt>
                <c:pt idx="127">
                  <c:v>45847</c:v>
                </c:pt>
                <c:pt idx="128">
                  <c:v>45848</c:v>
                </c:pt>
                <c:pt idx="129">
                  <c:v>45849</c:v>
                </c:pt>
                <c:pt idx="130">
                  <c:v>45852</c:v>
                </c:pt>
                <c:pt idx="131">
                  <c:v>45853</c:v>
                </c:pt>
                <c:pt idx="132">
                  <c:v>45854</c:v>
                </c:pt>
                <c:pt idx="133">
                  <c:v>45855</c:v>
                </c:pt>
                <c:pt idx="134">
                  <c:v>45856</c:v>
                </c:pt>
                <c:pt idx="135">
                  <c:v>45859</c:v>
                </c:pt>
                <c:pt idx="136">
                  <c:v>45860</c:v>
                </c:pt>
                <c:pt idx="137">
                  <c:v>45861</c:v>
                </c:pt>
                <c:pt idx="138">
                  <c:v>45862</c:v>
                </c:pt>
                <c:pt idx="139">
                  <c:v>45863</c:v>
                </c:pt>
                <c:pt idx="140">
                  <c:v>45866</c:v>
                </c:pt>
                <c:pt idx="141">
                  <c:v>45867</c:v>
                </c:pt>
                <c:pt idx="142">
                  <c:v>45868</c:v>
                </c:pt>
                <c:pt idx="143">
                  <c:v>45869</c:v>
                </c:pt>
                <c:pt idx="144">
                  <c:v>45870</c:v>
                </c:pt>
                <c:pt idx="145">
                  <c:v>45873</c:v>
                </c:pt>
                <c:pt idx="146">
                  <c:v>45874</c:v>
                </c:pt>
                <c:pt idx="147">
                  <c:v>45875</c:v>
                </c:pt>
                <c:pt idx="148">
                  <c:v>45876</c:v>
                </c:pt>
                <c:pt idx="149">
                  <c:v>45877</c:v>
                </c:pt>
                <c:pt idx="150">
                  <c:v>45880</c:v>
                </c:pt>
                <c:pt idx="151">
                  <c:v>45881</c:v>
                </c:pt>
                <c:pt idx="152">
                  <c:v>45882</c:v>
                </c:pt>
                <c:pt idx="153">
                  <c:v>45883</c:v>
                </c:pt>
                <c:pt idx="154">
                  <c:v>45884</c:v>
                </c:pt>
                <c:pt idx="155">
                  <c:v>45887</c:v>
                </c:pt>
                <c:pt idx="156">
                  <c:v>45888</c:v>
                </c:pt>
                <c:pt idx="157">
                  <c:v>45889</c:v>
                </c:pt>
                <c:pt idx="158">
                  <c:v>45890</c:v>
                </c:pt>
                <c:pt idx="159">
                  <c:v>45891</c:v>
                </c:pt>
                <c:pt idx="160">
                  <c:v>45894</c:v>
                </c:pt>
                <c:pt idx="161">
                  <c:v>45895</c:v>
                </c:pt>
                <c:pt idx="162">
                  <c:v>45896</c:v>
                </c:pt>
                <c:pt idx="163">
                  <c:v>45897</c:v>
                </c:pt>
                <c:pt idx="164">
                  <c:v>45898</c:v>
                </c:pt>
                <c:pt idx="165">
                  <c:v>45902</c:v>
                </c:pt>
                <c:pt idx="166">
                  <c:v>45903</c:v>
                </c:pt>
                <c:pt idx="167">
                  <c:v>45904</c:v>
                </c:pt>
                <c:pt idx="168">
                  <c:v>45905</c:v>
                </c:pt>
                <c:pt idx="169">
                  <c:v>45908</c:v>
                </c:pt>
                <c:pt idx="170">
                  <c:v>45909</c:v>
                </c:pt>
                <c:pt idx="171">
                  <c:v>45910</c:v>
                </c:pt>
                <c:pt idx="172">
                  <c:v>45911</c:v>
                </c:pt>
                <c:pt idx="173">
                  <c:v>45912</c:v>
                </c:pt>
                <c:pt idx="174">
                  <c:v>45915</c:v>
                </c:pt>
                <c:pt idx="175">
                  <c:v>45916</c:v>
                </c:pt>
                <c:pt idx="176">
                  <c:v>45917</c:v>
                </c:pt>
                <c:pt idx="177">
                  <c:v>45918</c:v>
                </c:pt>
                <c:pt idx="178">
                  <c:v>45919</c:v>
                </c:pt>
                <c:pt idx="179">
                  <c:v>45922</c:v>
                </c:pt>
                <c:pt idx="180">
                  <c:v>45923</c:v>
                </c:pt>
                <c:pt idx="181">
                  <c:v>45924</c:v>
                </c:pt>
                <c:pt idx="182">
                  <c:v>45925</c:v>
                </c:pt>
                <c:pt idx="183">
                  <c:v>45926</c:v>
                </c:pt>
                <c:pt idx="184">
                  <c:v>45929</c:v>
                </c:pt>
                <c:pt idx="185">
                  <c:v>45930</c:v>
                </c:pt>
                <c:pt idx="186">
                  <c:v>45931</c:v>
                </c:pt>
                <c:pt idx="187">
                  <c:v>45932</c:v>
                </c:pt>
                <c:pt idx="188">
                  <c:v>45933</c:v>
                </c:pt>
                <c:pt idx="189">
                  <c:v>45936</c:v>
                </c:pt>
                <c:pt idx="190">
                  <c:v>45937</c:v>
                </c:pt>
                <c:pt idx="191">
                  <c:v>45938</c:v>
                </c:pt>
                <c:pt idx="192">
                  <c:v>45939</c:v>
                </c:pt>
                <c:pt idx="193">
                  <c:v>45940</c:v>
                </c:pt>
                <c:pt idx="194">
                  <c:v>45943</c:v>
                </c:pt>
                <c:pt idx="195">
                  <c:v>45944</c:v>
                </c:pt>
                <c:pt idx="196">
                  <c:v>45945</c:v>
                </c:pt>
                <c:pt idx="197">
                  <c:v>45946</c:v>
                </c:pt>
                <c:pt idx="198">
                  <c:v>45947</c:v>
                </c:pt>
                <c:pt idx="199">
                  <c:v>45950</c:v>
                </c:pt>
                <c:pt idx="200">
                  <c:v>45951</c:v>
                </c:pt>
                <c:pt idx="201">
                  <c:v>45952</c:v>
                </c:pt>
                <c:pt idx="202">
                  <c:v>45953</c:v>
                </c:pt>
                <c:pt idx="203">
                  <c:v>45954</c:v>
                </c:pt>
                <c:pt idx="204">
                  <c:v>45957</c:v>
                </c:pt>
                <c:pt idx="205">
                  <c:v>45958</c:v>
                </c:pt>
                <c:pt idx="206">
                  <c:v>45959</c:v>
                </c:pt>
                <c:pt idx="207">
                  <c:v>45960</c:v>
                </c:pt>
                <c:pt idx="208">
                  <c:v>45961</c:v>
                </c:pt>
                <c:pt idx="209">
                  <c:v>45964</c:v>
                </c:pt>
                <c:pt idx="210">
                  <c:v>45965</c:v>
                </c:pt>
                <c:pt idx="211">
                  <c:v>45966</c:v>
                </c:pt>
                <c:pt idx="212">
                  <c:v>45967</c:v>
                </c:pt>
                <c:pt idx="213">
                  <c:v>45968</c:v>
                </c:pt>
                <c:pt idx="214">
                  <c:v>45971</c:v>
                </c:pt>
                <c:pt idx="215">
                  <c:v>45972</c:v>
                </c:pt>
                <c:pt idx="216">
                  <c:v>45973</c:v>
                </c:pt>
                <c:pt idx="217">
                  <c:v>45974</c:v>
                </c:pt>
                <c:pt idx="218">
                  <c:v>45975</c:v>
                </c:pt>
                <c:pt idx="219">
                  <c:v>45978</c:v>
                </c:pt>
                <c:pt idx="220">
                  <c:v>45979</c:v>
                </c:pt>
                <c:pt idx="221">
                  <c:v>45980</c:v>
                </c:pt>
                <c:pt idx="222">
                  <c:v>45981</c:v>
                </c:pt>
                <c:pt idx="223">
                  <c:v>45982</c:v>
                </c:pt>
                <c:pt idx="224">
                  <c:v>45985</c:v>
                </c:pt>
                <c:pt idx="225">
                  <c:v>45986</c:v>
                </c:pt>
                <c:pt idx="226">
                  <c:v>45987</c:v>
                </c:pt>
                <c:pt idx="227">
                  <c:v>45989</c:v>
                </c:pt>
                <c:pt idx="228">
                  <c:v>45992</c:v>
                </c:pt>
                <c:pt idx="229">
                  <c:v>45993</c:v>
                </c:pt>
                <c:pt idx="230">
                  <c:v>45994</c:v>
                </c:pt>
                <c:pt idx="231">
                  <c:v>45995</c:v>
                </c:pt>
                <c:pt idx="232">
                  <c:v>45996</c:v>
                </c:pt>
                <c:pt idx="233">
                  <c:v>45999</c:v>
                </c:pt>
                <c:pt idx="234">
                  <c:v>46000</c:v>
                </c:pt>
                <c:pt idx="235">
                  <c:v>46001</c:v>
                </c:pt>
                <c:pt idx="236">
                  <c:v>46002</c:v>
                </c:pt>
                <c:pt idx="237">
                  <c:v>46003</c:v>
                </c:pt>
                <c:pt idx="238">
                  <c:v>46006</c:v>
                </c:pt>
                <c:pt idx="239">
                  <c:v>46007</c:v>
                </c:pt>
                <c:pt idx="240">
                  <c:v>46008</c:v>
                </c:pt>
                <c:pt idx="241">
                  <c:v>46009</c:v>
                </c:pt>
                <c:pt idx="242">
                  <c:v>46010</c:v>
                </c:pt>
                <c:pt idx="243">
                  <c:v>46013</c:v>
                </c:pt>
                <c:pt idx="244">
                  <c:v>46014</c:v>
                </c:pt>
                <c:pt idx="245">
                  <c:v>46015</c:v>
                </c:pt>
                <c:pt idx="246">
                  <c:v>46017</c:v>
                </c:pt>
                <c:pt idx="247">
                  <c:v>46020</c:v>
                </c:pt>
                <c:pt idx="248">
                  <c:v>46021</c:v>
                </c:pt>
              </c:numCache>
            </c:numRef>
          </c:cat>
          <c:val>
            <c:numRef>
              <c:f>'S&amp;P500 2025'!$G$5:$G$253</c:f>
              <c:numCache>
                <c:formatCode>General</c:formatCode>
                <c:ptCount val="249"/>
                <c:pt idx="0">
                  <c:v>5868.5498046875</c:v>
                </c:pt>
                <c:pt idx="1">
                  <c:v>5942.47021484375</c:v>
                </c:pt>
                <c:pt idx="2">
                  <c:v>5975.3798828125</c:v>
                </c:pt>
                <c:pt idx="3">
                  <c:v>5909.02978515625</c:v>
                </c:pt>
                <c:pt idx="4">
                  <c:v>5918.25</c:v>
                </c:pt>
                <c:pt idx="5">
                  <c:v>5827.0400390625</c:v>
                </c:pt>
                <c:pt idx="6">
                  <c:v>5836.22021484375</c:v>
                </c:pt>
                <c:pt idx="7">
                  <c:v>5842.91015625</c:v>
                </c:pt>
                <c:pt idx="8">
                  <c:v>5949.91015625</c:v>
                </c:pt>
                <c:pt idx="9">
                  <c:v>5937.33984375</c:v>
                </c:pt>
                <c:pt idx="10">
                  <c:v>5996.66015625</c:v>
                </c:pt>
                <c:pt idx="11">
                  <c:v>6049.240234375</c:v>
                </c:pt>
                <c:pt idx="12">
                  <c:v>6086.3701171875</c:v>
                </c:pt>
                <c:pt idx="13">
                  <c:v>6118.7099609375</c:v>
                </c:pt>
                <c:pt idx="14">
                  <c:v>6101.240234375</c:v>
                </c:pt>
                <c:pt idx="15">
                  <c:v>6012.27978515625</c:v>
                </c:pt>
                <c:pt idx="16">
                  <c:v>6067.7001953125</c:v>
                </c:pt>
                <c:pt idx="17">
                  <c:v>6039.31005859375</c:v>
                </c:pt>
                <c:pt idx="18">
                  <c:v>6071.169921875</c:v>
                </c:pt>
                <c:pt idx="19">
                  <c:v>6040.52978515625</c:v>
                </c:pt>
                <c:pt idx="20">
                  <c:v>5994.56982421875</c:v>
                </c:pt>
                <c:pt idx="21">
                  <c:v>6037.8798828125</c:v>
                </c:pt>
                <c:pt idx="22">
                  <c:v>6061.47998046875</c:v>
                </c:pt>
                <c:pt idx="23">
                  <c:v>6083.56982421875</c:v>
                </c:pt>
                <c:pt idx="24">
                  <c:v>6025.990234375</c:v>
                </c:pt>
                <c:pt idx="25">
                  <c:v>6066.43994140625</c:v>
                </c:pt>
                <c:pt idx="26">
                  <c:v>6068.5</c:v>
                </c:pt>
                <c:pt idx="27">
                  <c:v>6051.97021484375</c:v>
                </c:pt>
                <c:pt idx="28">
                  <c:v>6115.06982421875</c:v>
                </c:pt>
                <c:pt idx="29">
                  <c:v>6114.6298828125</c:v>
                </c:pt>
                <c:pt idx="30">
                  <c:v>6129.580078125</c:v>
                </c:pt>
                <c:pt idx="31">
                  <c:v>6144.14990234375</c:v>
                </c:pt>
                <c:pt idx="32">
                  <c:v>6117.52001953125</c:v>
                </c:pt>
                <c:pt idx="33">
                  <c:v>6013.1298828125</c:v>
                </c:pt>
                <c:pt idx="34">
                  <c:v>5983.25</c:v>
                </c:pt>
                <c:pt idx="35">
                  <c:v>5955.25</c:v>
                </c:pt>
                <c:pt idx="36">
                  <c:v>5956.06005859375</c:v>
                </c:pt>
                <c:pt idx="37">
                  <c:v>5861.56982421875</c:v>
                </c:pt>
                <c:pt idx="38">
                  <c:v>5954.5</c:v>
                </c:pt>
                <c:pt idx="39">
                  <c:v>5849.72021484375</c:v>
                </c:pt>
                <c:pt idx="40">
                  <c:v>5778.14990234375</c:v>
                </c:pt>
                <c:pt idx="41">
                  <c:v>5842.6298828125</c:v>
                </c:pt>
                <c:pt idx="42">
                  <c:v>5738.52001953125</c:v>
                </c:pt>
                <c:pt idx="43">
                  <c:v>5770.2001953125</c:v>
                </c:pt>
                <c:pt idx="44">
                  <c:v>5614.56005859375</c:v>
                </c:pt>
                <c:pt idx="45">
                  <c:v>5572.06982421875</c:v>
                </c:pt>
                <c:pt idx="46">
                  <c:v>5599.2998046875</c:v>
                </c:pt>
                <c:pt idx="47">
                  <c:v>5521.52001953125</c:v>
                </c:pt>
                <c:pt idx="48">
                  <c:v>5638.93994140625</c:v>
                </c:pt>
                <c:pt idx="49">
                  <c:v>5675.1201171875</c:v>
                </c:pt>
                <c:pt idx="50">
                  <c:v>5614.66015625</c:v>
                </c:pt>
                <c:pt idx="51">
                  <c:v>5675.2900390625</c:v>
                </c:pt>
                <c:pt idx="52">
                  <c:v>5662.89013671875</c:v>
                </c:pt>
                <c:pt idx="53">
                  <c:v>5667.56005859375</c:v>
                </c:pt>
                <c:pt idx="54">
                  <c:v>5767.56982421875</c:v>
                </c:pt>
                <c:pt idx="55">
                  <c:v>5776.64990234375</c:v>
                </c:pt>
                <c:pt idx="56">
                  <c:v>5712.2001953125</c:v>
                </c:pt>
                <c:pt idx="57">
                  <c:v>5693.31005859375</c:v>
                </c:pt>
                <c:pt idx="58">
                  <c:v>5580.93994140625</c:v>
                </c:pt>
                <c:pt idx="59">
                  <c:v>5611.85009765625</c:v>
                </c:pt>
                <c:pt idx="60">
                  <c:v>5633.06982421875</c:v>
                </c:pt>
                <c:pt idx="61">
                  <c:v>5670.97021484375</c:v>
                </c:pt>
                <c:pt idx="62">
                  <c:v>5396.52001953125</c:v>
                </c:pt>
                <c:pt idx="63">
                  <c:v>5074.080078125</c:v>
                </c:pt>
                <c:pt idx="64">
                  <c:v>5062.25</c:v>
                </c:pt>
                <c:pt idx="65">
                  <c:v>4982.77001953125</c:v>
                </c:pt>
                <c:pt idx="66">
                  <c:v>5456.89990234375</c:v>
                </c:pt>
                <c:pt idx="67">
                  <c:v>5268.0498046875</c:v>
                </c:pt>
                <c:pt idx="68">
                  <c:v>5363.35986328125</c:v>
                </c:pt>
                <c:pt idx="69">
                  <c:v>5405.97021484375</c:v>
                </c:pt>
                <c:pt idx="70">
                  <c:v>5396.6298828125</c:v>
                </c:pt>
                <c:pt idx="71">
                  <c:v>5275.7001953125</c:v>
                </c:pt>
                <c:pt idx="72">
                  <c:v>5282.7001953125</c:v>
                </c:pt>
                <c:pt idx="73">
                  <c:v>5158.2001953125</c:v>
                </c:pt>
                <c:pt idx="74">
                  <c:v>5287.759765625</c:v>
                </c:pt>
                <c:pt idx="75">
                  <c:v>5375.85986328125</c:v>
                </c:pt>
                <c:pt idx="76">
                  <c:v>5484.77001953125</c:v>
                </c:pt>
                <c:pt idx="77">
                  <c:v>5525.2099609375</c:v>
                </c:pt>
                <c:pt idx="78">
                  <c:v>5528.75</c:v>
                </c:pt>
                <c:pt idx="79">
                  <c:v>5560.830078125</c:v>
                </c:pt>
                <c:pt idx="80">
                  <c:v>5569.06005859375</c:v>
                </c:pt>
                <c:pt idx="81">
                  <c:v>5604.14013671875</c:v>
                </c:pt>
                <c:pt idx="82">
                  <c:v>5686.669921875</c:v>
                </c:pt>
                <c:pt idx="83">
                  <c:v>5650.3798828125</c:v>
                </c:pt>
                <c:pt idx="84">
                  <c:v>5606.91015625</c:v>
                </c:pt>
                <c:pt idx="85">
                  <c:v>5631.27978515625</c:v>
                </c:pt>
                <c:pt idx="86">
                  <c:v>5663.93994140625</c:v>
                </c:pt>
                <c:pt idx="87">
                  <c:v>5659.91015625</c:v>
                </c:pt>
                <c:pt idx="88">
                  <c:v>5844.18994140625</c:v>
                </c:pt>
                <c:pt idx="89">
                  <c:v>5886.5498046875</c:v>
                </c:pt>
                <c:pt idx="90">
                  <c:v>5892.580078125</c:v>
                </c:pt>
                <c:pt idx="91">
                  <c:v>5916.93017578125</c:v>
                </c:pt>
                <c:pt idx="92">
                  <c:v>5958.3798828125</c:v>
                </c:pt>
                <c:pt idx="93">
                  <c:v>5963.60009765625</c:v>
                </c:pt>
                <c:pt idx="94">
                  <c:v>5940.4599609375</c:v>
                </c:pt>
                <c:pt idx="95">
                  <c:v>5844.60986328125</c:v>
                </c:pt>
                <c:pt idx="96">
                  <c:v>5842.009765625</c:v>
                </c:pt>
                <c:pt idx="97">
                  <c:v>5802.81982421875</c:v>
                </c:pt>
                <c:pt idx="98">
                  <c:v>5921.5400390625</c:v>
                </c:pt>
                <c:pt idx="99">
                  <c:v>5888.5498046875</c:v>
                </c:pt>
                <c:pt idx="100">
                  <c:v>5912.169921875</c:v>
                </c:pt>
                <c:pt idx="101">
                  <c:v>5911.68994140625</c:v>
                </c:pt>
                <c:pt idx="102">
                  <c:v>5935.93994140625</c:v>
                </c:pt>
                <c:pt idx="103">
                  <c:v>5970.3701171875</c:v>
                </c:pt>
                <c:pt idx="104">
                  <c:v>5970.81005859375</c:v>
                </c:pt>
                <c:pt idx="105">
                  <c:v>5939.2998046875</c:v>
                </c:pt>
                <c:pt idx="106">
                  <c:v>6000.35986328125</c:v>
                </c:pt>
                <c:pt idx="107">
                  <c:v>6005.8798828125</c:v>
                </c:pt>
                <c:pt idx="108">
                  <c:v>6038.81005859375</c:v>
                </c:pt>
                <c:pt idx="109">
                  <c:v>6022.240234375</c:v>
                </c:pt>
                <c:pt idx="110">
                  <c:v>6045.259765625</c:v>
                </c:pt>
                <c:pt idx="111">
                  <c:v>5976.97021484375</c:v>
                </c:pt>
                <c:pt idx="112">
                  <c:v>6033.10986328125</c:v>
                </c:pt>
                <c:pt idx="113">
                  <c:v>5982.72021484375</c:v>
                </c:pt>
                <c:pt idx="114">
                  <c:v>5980.8701171875</c:v>
                </c:pt>
                <c:pt idx="115">
                  <c:v>5967.83984375</c:v>
                </c:pt>
                <c:pt idx="116">
                  <c:v>6025.169921875</c:v>
                </c:pt>
                <c:pt idx="117">
                  <c:v>6092.18017578125</c:v>
                </c:pt>
                <c:pt idx="118">
                  <c:v>6092.16015625</c:v>
                </c:pt>
                <c:pt idx="119">
                  <c:v>6141.02001953125</c:v>
                </c:pt>
                <c:pt idx="120">
                  <c:v>6173.06982421875</c:v>
                </c:pt>
                <c:pt idx="121">
                  <c:v>6204.9501953125</c:v>
                </c:pt>
                <c:pt idx="122">
                  <c:v>6198.009765625</c:v>
                </c:pt>
                <c:pt idx="123">
                  <c:v>6227.419921875</c:v>
                </c:pt>
                <c:pt idx="124">
                  <c:v>6279.35009765625</c:v>
                </c:pt>
                <c:pt idx="125">
                  <c:v>6229.97998046875</c:v>
                </c:pt>
                <c:pt idx="126">
                  <c:v>6225.52001953125</c:v>
                </c:pt>
                <c:pt idx="127">
                  <c:v>6263.259765625</c:v>
                </c:pt>
                <c:pt idx="128">
                  <c:v>6280.4599609375</c:v>
                </c:pt>
                <c:pt idx="129">
                  <c:v>6259.75</c:v>
                </c:pt>
                <c:pt idx="130">
                  <c:v>6268.56005859375</c:v>
                </c:pt>
                <c:pt idx="131">
                  <c:v>6243.759765625</c:v>
                </c:pt>
                <c:pt idx="132">
                  <c:v>6263.7001953125</c:v>
                </c:pt>
                <c:pt idx="133">
                  <c:v>6297.35986328125</c:v>
                </c:pt>
                <c:pt idx="134">
                  <c:v>6296.7900390625</c:v>
                </c:pt>
                <c:pt idx="135">
                  <c:v>6305.60009765625</c:v>
                </c:pt>
                <c:pt idx="136">
                  <c:v>6309.6201171875</c:v>
                </c:pt>
                <c:pt idx="137">
                  <c:v>6358.91015625</c:v>
                </c:pt>
                <c:pt idx="138">
                  <c:v>6363.35009765625</c:v>
                </c:pt>
                <c:pt idx="139">
                  <c:v>6388.64013671875</c:v>
                </c:pt>
                <c:pt idx="140">
                  <c:v>6389.77001953125</c:v>
                </c:pt>
                <c:pt idx="141">
                  <c:v>6370.85986328125</c:v>
                </c:pt>
                <c:pt idx="142">
                  <c:v>6362.89990234375</c:v>
                </c:pt>
                <c:pt idx="143">
                  <c:v>6339.39013671875</c:v>
                </c:pt>
                <c:pt idx="144">
                  <c:v>6238.009765625</c:v>
                </c:pt>
                <c:pt idx="145">
                  <c:v>6329.93994140625</c:v>
                </c:pt>
                <c:pt idx="146">
                  <c:v>6299.18994140625</c:v>
                </c:pt>
                <c:pt idx="147">
                  <c:v>6345.06005859375</c:v>
                </c:pt>
                <c:pt idx="148">
                  <c:v>6340</c:v>
                </c:pt>
                <c:pt idx="149">
                  <c:v>6389.4501953125</c:v>
                </c:pt>
                <c:pt idx="150">
                  <c:v>6373.4501953125</c:v>
                </c:pt>
                <c:pt idx="151">
                  <c:v>6445.759765625</c:v>
                </c:pt>
                <c:pt idx="152">
                  <c:v>6466.580078125</c:v>
                </c:pt>
                <c:pt idx="153">
                  <c:v>6468.5400390625</c:v>
                </c:pt>
                <c:pt idx="154">
                  <c:v>6449.7998046875</c:v>
                </c:pt>
                <c:pt idx="155">
                  <c:v>6449.14990234375</c:v>
                </c:pt>
                <c:pt idx="156">
                  <c:v>6411.3701171875</c:v>
                </c:pt>
                <c:pt idx="157">
                  <c:v>6395.77978515625</c:v>
                </c:pt>
                <c:pt idx="158">
                  <c:v>6370.169921875</c:v>
                </c:pt>
                <c:pt idx="159">
                  <c:v>6466.91015625</c:v>
                </c:pt>
                <c:pt idx="160">
                  <c:v>6439.31982421875</c:v>
                </c:pt>
                <c:pt idx="161">
                  <c:v>6465.93994140625</c:v>
                </c:pt>
                <c:pt idx="162">
                  <c:v>6481.39990234375</c:v>
                </c:pt>
                <c:pt idx="163">
                  <c:v>6501.85986328125</c:v>
                </c:pt>
                <c:pt idx="164">
                  <c:v>6460.259765625</c:v>
                </c:pt>
                <c:pt idx="165">
                  <c:v>6415.5400390625</c:v>
                </c:pt>
                <c:pt idx="166">
                  <c:v>6448.259765625</c:v>
                </c:pt>
                <c:pt idx="167">
                  <c:v>6502.080078125</c:v>
                </c:pt>
                <c:pt idx="168">
                  <c:v>6481.5</c:v>
                </c:pt>
                <c:pt idx="169">
                  <c:v>6495.14990234375</c:v>
                </c:pt>
                <c:pt idx="170">
                  <c:v>6512.60986328125</c:v>
                </c:pt>
                <c:pt idx="171">
                  <c:v>6532.0400390625</c:v>
                </c:pt>
                <c:pt idx="172">
                  <c:v>6587.47021484375</c:v>
                </c:pt>
                <c:pt idx="173">
                  <c:v>6584.2900390625</c:v>
                </c:pt>
                <c:pt idx="174">
                  <c:v>6615.27978515625</c:v>
                </c:pt>
                <c:pt idx="175">
                  <c:v>6606.759765625</c:v>
                </c:pt>
                <c:pt idx="176">
                  <c:v>6600.35009765625</c:v>
                </c:pt>
                <c:pt idx="177">
                  <c:v>6631.9599609375</c:v>
                </c:pt>
                <c:pt idx="178">
                  <c:v>6664.35986328125</c:v>
                </c:pt>
                <c:pt idx="179">
                  <c:v>6693.75</c:v>
                </c:pt>
                <c:pt idx="180">
                  <c:v>6656.919921875</c:v>
                </c:pt>
                <c:pt idx="181">
                  <c:v>6637.97021484375</c:v>
                </c:pt>
                <c:pt idx="182">
                  <c:v>6604.72021484375</c:v>
                </c:pt>
                <c:pt idx="183">
                  <c:v>6643.7001953125</c:v>
                </c:pt>
                <c:pt idx="184">
                  <c:v>6661.2099609375</c:v>
                </c:pt>
                <c:pt idx="185">
                  <c:v>6688.4599609375</c:v>
                </c:pt>
                <c:pt idx="186">
                  <c:v>6711.2001953125</c:v>
                </c:pt>
                <c:pt idx="187">
                  <c:v>6715.35009765625</c:v>
                </c:pt>
                <c:pt idx="188">
                  <c:v>6715.7900390625</c:v>
                </c:pt>
                <c:pt idx="189">
                  <c:v>6740.27978515625</c:v>
                </c:pt>
                <c:pt idx="190">
                  <c:v>6714.58984375</c:v>
                </c:pt>
                <c:pt idx="191">
                  <c:v>6753.72021484375</c:v>
                </c:pt>
                <c:pt idx="192">
                  <c:v>6735.10986328125</c:v>
                </c:pt>
                <c:pt idx="193">
                  <c:v>6552.509765625</c:v>
                </c:pt>
                <c:pt idx="194">
                  <c:v>6654.72021484375</c:v>
                </c:pt>
                <c:pt idx="195">
                  <c:v>6644.31005859375</c:v>
                </c:pt>
                <c:pt idx="196">
                  <c:v>6671.06005859375</c:v>
                </c:pt>
                <c:pt idx="197">
                  <c:v>6629.06982421875</c:v>
                </c:pt>
                <c:pt idx="198">
                  <c:v>6664.009765625</c:v>
                </c:pt>
                <c:pt idx="199">
                  <c:v>6735.1298828125</c:v>
                </c:pt>
                <c:pt idx="200">
                  <c:v>6735.35009765625</c:v>
                </c:pt>
                <c:pt idx="201">
                  <c:v>6699.39990234375</c:v>
                </c:pt>
                <c:pt idx="202">
                  <c:v>6738.43994140625</c:v>
                </c:pt>
                <c:pt idx="203">
                  <c:v>6791.68994140625</c:v>
                </c:pt>
                <c:pt idx="204">
                  <c:v>6875.16015625</c:v>
                </c:pt>
                <c:pt idx="205">
                  <c:v>6890.89013671875</c:v>
                </c:pt>
                <c:pt idx="206">
                  <c:v>6890.58984375</c:v>
                </c:pt>
                <c:pt idx="207">
                  <c:v>6822.33984375</c:v>
                </c:pt>
                <c:pt idx="208">
                  <c:v>6840.2001953125</c:v>
                </c:pt>
                <c:pt idx="209">
                  <c:v>6851.97021484375</c:v>
                </c:pt>
                <c:pt idx="210">
                  <c:v>6771.5498046875</c:v>
                </c:pt>
                <c:pt idx="211">
                  <c:v>6796.2900390625</c:v>
                </c:pt>
                <c:pt idx="212">
                  <c:v>6720.31982421875</c:v>
                </c:pt>
                <c:pt idx="213">
                  <c:v>6728.7998046875</c:v>
                </c:pt>
                <c:pt idx="214">
                  <c:v>6832.43017578125</c:v>
                </c:pt>
                <c:pt idx="215">
                  <c:v>6846.60986328125</c:v>
                </c:pt>
                <c:pt idx="216">
                  <c:v>6850.919921875</c:v>
                </c:pt>
                <c:pt idx="217">
                  <c:v>6737.490234375</c:v>
                </c:pt>
                <c:pt idx="218">
                  <c:v>6734.10986328125</c:v>
                </c:pt>
                <c:pt idx="219">
                  <c:v>6672.41015625</c:v>
                </c:pt>
                <c:pt idx="220">
                  <c:v>6617.31982421875</c:v>
                </c:pt>
                <c:pt idx="221">
                  <c:v>6642.16015625</c:v>
                </c:pt>
                <c:pt idx="222">
                  <c:v>6538.759765625</c:v>
                </c:pt>
                <c:pt idx="223">
                  <c:v>6602.990234375</c:v>
                </c:pt>
                <c:pt idx="224">
                  <c:v>6705.1201171875</c:v>
                </c:pt>
                <c:pt idx="225">
                  <c:v>6765.8798828125</c:v>
                </c:pt>
                <c:pt idx="226">
                  <c:v>6812.60986328125</c:v>
                </c:pt>
                <c:pt idx="227">
                  <c:v>6849.08984375</c:v>
                </c:pt>
                <c:pt idx="228">
                  <c:v>6812.6298828125</c:v>
                </c:pt>
                <c:pt idx="229">
                  <c:v>6829.3701171875</c:v>
                </c:pt>
                <c:pt idx="230">
                  <c:v>6849.72021484375</c:v>
                </c:pt>
                <c:pt idx="231">
                  <c:v>6857.1201171875</c:v>
                </c:pt>
                <c:pt idx="232">
                  <c:v>6870.39990234375</c:v>
                </c:pt>
                <c:pt idx="233">
                  <c:v>6846.509765625</c:v>
                </c:pt>
                <c:pt idx="234">
                  <c:v>6840.509765625</c:v>
                </c:pt>
                <c:pt idx="235">
                  <c:v>6886.68017578125</c:v>
                </c:pt>
                <c:pt idx="236">
                  <c:v>6901</c:v>
                </c:pt>
                <c:pt idx="237">
                  <c:v>6827.41015625</c:v>
                </c:pt>
                <c:pt idx="238">
                  <c:v>6816.509765625</c:v>
                </c:pt>
                <c:pt idx="239">
                  <c:v>6800.259765625</c:v>
                </c:pt>
                <c:pt idx="240">
                  <c:v>6721.43017578125</c:v>
                </c:pt>
                <c:pt idx="241">
                  <c:v>6774.759765625</c:v>
                </c:pt>
                <c:pt idx="242">
                  <c:v>6834.5</c:v>
                </c:pt>
                <c:pt idx="243">
                  <c:v>6878.490234375</c:v>
                </c:pt>
                <c:pt idx="244">
                  <c:v>6909.7900390625</c:v>
                </c:pt>
                <c:pt idx="245">
                  <c:v>6932.0498046875</c:v>
                </c:pt>
                <c:pt idx="246">
                  <c:v>6929.93994140625</c:v>
                </c:pt>
                <c:pt idx="247">
                  <c:v>6905.740234375</c:v>
                </c:pt>
                <c:pt idx="248">
                  <c:v>6896.240234375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9A-4BEC-92BD-FD6ED3F79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8063871"/>
        <c:axId val="1348064351"/>
      </c:lineChart>
      <c:dateAx>
        <c:axId val="134806387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8064351"/>
        <c:crosses val="autoZero"/>
        <c:auto val="1"/>
        <c:lblOffset val="100"/>
        <c:baseTimeUnit val="days"/>
      </c:dateAx>
      <c:valAx>
        <c:axId val="1348064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8063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781049</xdr:colOff>
      <xdr:row>2</xdr:row>
      <xdr:rowOff>176212</xdr:rowOff>
    </xdr:from>
    <xdr:to>
      <xdr:col>13</xdr:col>
      <xdr:colOff>1085849</xdr:colOff>
      <xdr:row>17</xdr:row>
      <xdr:rowOff>61912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710E734-0985-EE90-6D7D-C1607E532D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1123949</xdr:colOff>
      <xdr:row>8</xdr:row>
      <xdr:rowOff>1</xdr:rowOff>
    </xdr:from>
    <xdr:to>
      <xdr:col>3</xdr:col>
      <xdr:colOff>581024</xdr:colOff>
      <xdr:row>11</xdr:row>
      <xdr:rowOff>9525</xdr:rowOff>
    </xdr:to>
    <xdr:sp macro="[0]!fill_inf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D38A9D4-83A0-674F-E5D6-EECE26E62DF4}"/>
            </a:ext>
          </a:extLst>
        </xdr:cNvPr>
        <xdr:cNvSpPr/>
      </xdr:nvSpPr>
      <xdr:spPr>
        <a:xfrm>
          <a:off x="1733549" y="1524001"/>
          <a:ext cx="1704975" cy="58102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Click</a:t>
          </a:r>
          <a:r>
            <a:rPr lang="en-US" sz="1100" baseline="0">
              <a:solidFill>
                <a:sysClr val="windowText" lastClr="000000"/>
              </a:solidFill>
            </a:rPr>
            <a:t> to Fill and Refresh Pivot Table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ngjin Sun" refreshedDate="46051.455234027781" createdVersion="8" refreshedVersion="8" minRefreshableVersion="3" recordCount="6" xr:uid="{0FD05A98-31BD-40F1-A946-C0BF89C1D660}">
  <cacheSource type="worksheet">
    <worksheetSource name="Table1"/>
  </cacheSource>
  <cacheFields count="5">
    <cacheField name="Last Name" numFmtId="0">
      <sharedItems/>
    </cacheField>
    <cacheField name="First Name" numFmtId="0">
      <sharedItems/>
    </cacheField>
    <cacheField name="Age" numFmtId="0">
      <sharedItems containsSemiMixedTypes="0" containsString="0" containsNumber="1" containsInteger="1" minValue="15" maxValue="46"/>
    </cacheField>
    <cacheField name="Gender" numFmtId="0">
      <sharedItems count="2">
        <s v="Female"/>
        <s v="Male"/>
      </sharedItems>
    </cacheField>
    <cacheField name="Smoke" numFmtId="0">
      <sharedItems count="2">
        <s v="No"/>
        <s v="Y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s v="Alexa"/>
    <s v="Amazon"/>
    <n v="15"/>
    <x v="0"/>
    <x v="0"/>
  </r>
  <r>
    <s v="Smith"/>
    <s v="Alice"/>
    <n v="17"/>
    <x v="0"/>
    <x v="0"/>
  </r>
  <r>
    <s v="Sun"/>
    <s v="Mengjin"/>
    <n v="29"/>
    <x v="0"/>
    <x v="0"/>
  </r>
  <r>
    <s v="Davis"/>
    <s v="Mike"/>
    <n v="25"/>
    <x v="1"/>
    <x v="0"/>
  </r>
  <r>
    <s v="Doe"/>
    <s v="John"/>
    <n v="46"/>
    <x v="1"/>
    <x v="1"/>
  </r>
  <r>
    <s v="Joe"/>
    <s v="Jane"/>
    <n v="32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4364F7-5D84-4B1D-8D9E-C49B5927BC91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Gender" colHeaderCaption="Smoke or Not">
  <location ref="M2:P6" firstHeaderRow="1" firstDataRow="2" firstDataCol="1"/>
  <pivotFields count="5">
    <pivotField showAll="0"/>
    <pivotField dataField="1" showAll="0"/>
    <pivotField showAll="0"/>
    <pivotField axis="axisRow" showAll="0" sortType="descending">
      <items count="3">
        <item x="1"/>
        <item x="0"/>
        <item t="default"/>
      </items>
    </pivotField>
    <pivotField axis="axisCol" showAll="0" sortType="descending">
      <items count="3">
        <item x="1"/>
        <item x="0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Fields count="1">
    <field x="4"/>
  </colFields>
  <colItems count="3">
    <i>
      <x/>
    </i>
    <i>
      <x v="1"/>
    </i>
    <i t="grand">
      <x/>
    </i>
  </colItems>
  <dataFields count="1">
    <dataField name="Client %" fld="1" subtotal="count" showDataAs="percentOfTotal" baseField="3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388C95-EEB4-4830-871E-C0A386607E44}" name="Table2" displayName="Table2" ref="A4:G253" totalsRowShown="0" headerRowDxfId="10">
  <autoFilter ref="A4:G253" xr:uid="{A8388C95-EEB4-4830-871E-C0A386607E44}"/>
  <tableColumns count="7">
    <tableColumn id="1" xr3:uid="{C7F18883-1522-4024-A0C9-26E0C094E839}" name="Date" dataDxfId="9"/>
    <tableColumn id="2" xr3:uid="{7B261E7D-257C-4A12-B57F-5824C80FF670}" name="GSPC.Open"/>
    <tableColumn id="3" xr3:uid="{F505BEAD-37E1-412D-B564-DE41E504A5E9}" name="GSPC.High"/>
    <tableColumn id="4" xr3:uid="{E676E083-963B-48FA-9E63-F7DE348D308E}" name="GSPC.Low"/>
    <tableColumn id="5" xr3:uid="{11FDF5FF-1B50-4B58-B7B2-D769C1396689}" name="GSPC.Close"/>
    <tableColumn id="6" xr3:uid="{93755A81-306F-4F1C-83FF-0797B118C8EC}" name="GSPC.Volume"/>
    <tableColumn id="7" xr3:uid="{15D37D51-2387-40FB-8264-9BA859340CE2}" name="GSPC.Adjuste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63A0940-8FDF-4C67-A1DC-813F0F126970}" name="Table3" displayName="Table3" ref="I22:L53" totalsRowShown="0">
  <autoFilter ref="I22:L53" xr:uid="{163A0940-8FDF-4C67-A1DC-813F0F126970}"/>
  <tableColumns count="4">
    <tableColumn id="1" xr3:uid="{7164EACA-565D-4CE3-A8CE-9DA83D9AC07F}" name="Futrue Date" dataDxfId="8"/>
    <tableColumn id="2" xr3:uid="{23124415-BD51-440D-B3A5-B92AD81376EC}" name="Predicted Adjusted Close" dataDxfId="7">
      <calculatedColumnFormula>_xlfn.FORECAST.LINEAR(Table3[[#This Row],[Futrue Date]], Table2[GSPC.Adjusted], Table2[Date])</calculatedColumnFormula>
    </tableColumn>
    <tableColumn id="3" xr3:uid="{253EB668-3387-4CB8-8C24-5511701273B9}" name="Actual Adjusted Close"/>
    <tableColumn id="4" xr3:uid="{F4371313-BF68-461E-9AB8-2512B0720BE8}" name="Squared Error" dataDxfId="6">
      <calculatedColumnFormula>IF(ISBLANK(Table3[[#This Row],[Actual Adjusted Close]]), "", (Table3[[#This Row],[Actual Adjusted Close]]-Table3[[#This Row],[Predicted Adjusted Close]])^2)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286391-DE96-477A-9127-2A55B40903A9}" name="Table1" displayName="Table1" ref="F2:J8" totalsRowShown="0" dataDxfId="5">
  <autoFilter ref="F2:J8" xr:uid="{FB286391-DE96-477A-9127-2A55B40903A9}"/>
  <tableColumns count="5">
    <tableColumn id="1" xr3:uid="{053E2E6D-38CC-4D80-8D32-BFBEE5B73FB4}" name="Last Name" dataDxfId="4"/>
    <tableColumn id="2" xr3:uid="{8E3F482B-26F2-4A87-A58D-B37B2FD715B2}" name="First Name" dataDxfId="3"/>
    <tableColumn id="3" xr3:uid="{6FFCB218-3A92-4A0F-A489-2693A10ED08D}" name="Age" dataDxfId="2"/>
    <tableColumn id="4" xr3:uid="{EA27AF58-7C88-409F-9429-FD5CC9809C6C}" name="Gender" dataDxfId="1"/>
    <tableColumn id="5" xr3:uid="{B13690F9-03D3-40F4-9EFB-1D7D8554B2D8}" name="Smoke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B1B68-B81B-4AA0-863A-D682194D6A7F}">
  <sheetPr codeName="Sheet1"/>
  <dimension ref="A1:L253"/>
  <sheetViews>
    <sheetView tabSelected="1" workbookViewId="0"/>
  </sheetViews>
  <sheetFormatPr defaultColWidth="16.28515625" defaultRowHeight="15" x14ac:dyDescent="0.25"/>
  <cols>
    <col min="1" max="1" width="12.28515625" customWidth="1"/>
    <col min="7" max="7" width="16.42578125" customWidth="1"/>
    <col min="9" max="9" width="13.5703125" customWidth="1"/>
    <col min="10" max="10" width="25.7109375" customWidth="1"/>
  </cols>
  <sheetData>
    <row r="1" spans="1:7" x14ac:dyDescent="0.25">
      <c r="A1" s="9" t="s">
        <v>33</v>
      </c>
    </row>
    <row r="2" spans="1:7" x14ac:dyDescent="0.25">
      <c r="A2" s="9" t="s">
        <v>41</v>
      </c>
    </row>
    <row r="3" spans="1:7" x14ac:dyDescent="0.25">
      <c r="A3" s="9"/>
    </row>
    <row r="4" spans="1:7" x14ac:dyDescent="0.25">
      <c r="A4" s="10" t="s">
        <v>34</v>
      </c>
      <c r="B4" s="10" t="s">
        <v>35</v>
      </c>
      <c r="C4" s="10" t="s">
        <v>36</v>
      </c>
      <c r="D4" s="10" t="s">
        <v>37</v>
      </c>
      <c r="E4" s="10" t="s">
        <v>38</v>
      </c>
      <c r="F4" s="10" t="s">
        <v>39</v>
      </c>
      <c r="G4" s="10" t="s">
        <v>40</v>
      </c>
    </row>
    <row r="5" spans="1:7" x14ac:dyDescent="0.25">
      <c r="A5" s="14">
        <v>45659</v>
      </c>
      <c r="B5">
        <v>5903.259765625</v>
      </c>
      <c r="C5">
        <v>5935.08984375</v>
      </c>
      <c r="D5">
        <v>5829.52978515625</v>
      </c>
      <c r="E5">
        <v>5868.5498046875</v>
      </c>
      <c r="F5">
        <v>3621680000</v>
      </c>
      <c r="G5">
        <v>5868.5498046875</v>
      </c>
    </row>
    <row r="6" spans="1:7" x14ac:dyDescent="0.25">
      <c r="A6" s="14">
        <v>45660</v>
      </c>
      <c r="B6">
        <v>5891.06982421875</v>
      </c>
      <c r="C6">
        <v>5949.33984375</v>
      </c>
      <c r="D6">
        <v>5888.66015625</v>
      </c>
      <c r="E6">
        <v>5942.47021484375</v>
      </c>
      <c r="F6">
        <v>3667340000</v>
      </c>
      <c r="G6">
        <v>5942.47021484375</v>
      </c>
    </row>
    <row r="7" spans="1:7" x14ac:dyDescent="0.25">
      <c r="A7" s="14">
        <v>45663</v>
      </c>
      <c r="B7">
        <v>5982.81005859375</v>
      </c>
      <c r="C7">
        <v>6021.0400390625</v>
      </c>
      <c r="D7">
        <v>5960.009765625</v>
      </c>
      <c r="E7">
        <v>5975.3798828125</v>
      </c>
      <c r="F7">
        <v>4940120000</v>
      </c>
      <c r="G7">
        <v>5975.3798828125</v>
      </c>
    </row>
    <row r="8" spans="1:7" x14ac:dyDescent="0.25">
      <c r="A8" s="14">
        <v>45664</v>
      </c>
      <c r="B8">
        <v>5993.259765625</v>
      </c>
      <c r="C8">
        <v>6000.68017578125</v>
      </c>
      <c r="D8">
        <v>5890.68017578125</v>
      </c>
      <c r="E8">
        <v>5909.02978515625</v>
      </c>
      <c r="F8">
        <v>4517330000</v>
      </c>
      <c r="G8">
        <v>5909.02978515625</v>
      </c>
    </row>
    <row r="9" spans="1:7" x14ac:dyDescent="0.25">
      <c r="A9" s="14">
        <v>45665</v>
      </c>
      <c r="B9">
        <v>5910.66015625</v>
      </c>
      <c r="C9">
        <v>5927.89013671875</v>
      </c>
      <c r="D9">
        <v>5874.77978515625</v>
      </c>
      <c r="E9">
        <v>5918.25</v>
      </c>
      <c r="F9">
        <v>4441740000</v>
      </c>
      <c r="G9">
        <v>5918.25</v>
      </c>
    </row>
    <row r="10" spans="1:7" x14ac:dyDescent="0.25">
      <c r="A10" s="14">
        <v>45667</v>
      </c>
      <c r="B10">
        <v>5890.35009765625</v>
      </c>
      <c r="C10">
        <v>5890.35009765625</v>
      </c>
      <c r="D10">
        <v>5807.77978515625</v>
      </c>
      <c r="E10">
        <v>5827.0400390625</v>
      </c>
      <c r="F10">
        <v>4751930000</v>
      </c>
      <c r="G10">
        <v>5827.0400390625</v>
      </c>
    </row>
    <row r="11" spans="1:7" x14ac:dyDescent="0.25">
      <c r="A11" s="14">
        <v>45670</v>
      </c>
      <c r="B11">
        <v>5782.02001953125</v>
      </c>
      <c r="C11">
        <v>5838.60986328125</v>
      </c>
      <c r="D11">
        <v>5773.31005859375</v>
      </c>
      <c r="E11">
        <v>5836.22021484375</v>
      </c>
      <c r="F11">
        <v>4421200000</v>
      </c>
      <c r="G11">
        <v>5836.22021484375</v>
      </c>
    </row>
    <row r="12" spans="1:7" x14ac:dyDescent="0.25">
      <c r="A12" s="14">
        <v>45671</v>
      </c>
      <c r="B12">
        <v>5859.27001953125</v>
      </c>
      <c r="C12">
        <v>5871.919921875</v>
      </c>
      <c r="D12">
        <v>5805.419921875</v>
      </c>
      <c r="E12">
        <v>5842.91015625</v>
      </c>
      <c r="F12">
        <v>4142280000</v>
      </c>
      <c r="G12">
        <v>5842.91015625</v>
      </c>
    </row>
    <row r="13" spans="1:7" x14ac:dyDescent="0.25">
      <c r="A13" s="14">
        <v>45672</v>
      </c>
      <c r="B13">
        <v>5905.2099609375</v>
      </c>
      <c r="C13">
        <v>5960.60986328125</v>
      </c>
      <c r="D13">
        <v>5905.2099609375</v>
      </c>
      <c r="E13">
        <v>5949.91015625</v>
      </c>
      <c r="F13">
        <v>4544570000</v>
      </c>
      <c r="G13">
        <v>5949.91015625</v>
      </c>
    </row>
    <row r="14" spans="1:7" x14ac:dyDescent="0.25">
      <c r="A14" s="14">
        <v>45673</v>
      </c>
      <c r="B14">
        <v>5963.60986328125</v>
      </c>
      <c r="C14">
        <v>5964.68994140625</v>
      </c>
      <c r="D14">
        <v>5930.72021484375</v>
      </c>
      <c r="E14">
        <v>5937.33984375</v>
      </c>
      <c r="F14">
        <v>4285810000</v>
      </c>
      <c r="G14">
        <v>5937.33984375</v>
      </c>
    </row>
    <row r="15" spans="1:7" x14ac:dyDescent="0.25">
      <c r="A15" s="14">
        <v>45674</v>
      </c>
      <c r="B15">
        <v>5995.39990234375</v>
      </c>
      <c r="C15">
        <v>6014.9599609375</v>
      </c>
      <c r="D15">
        <v>5978.43994140625</v>
      </c>
      <c r="E15">
        <v>5996.66015625</v>
      </c>
      <c r="F15">
        <v>4366830000</v>
      </c>
      <c r="G15">
        <v>5996.66015625</v>
      </c>
    </row>
    <row r="16" spans="1:7" x14ac:dyDescent="0.25">
      <c r="A16" s="14">
        <v>45678</v>
      </c>
      <c r="B16">
        <v>6014.1201171875</v>
      </c>
      <c r="C16">
        <v>6051.509765625</v>
      </c>
      <c r="D16">
        <v>6006.8798828125</v>
      </c>
      <c r="E16">
        <v>6049.240234375</v>
      </c>
      <c r="F16">
        <v>4702920000</v>
      </c>
      <c r="G16">
        <v>6049.240234375</v>
      </c>
    </row>
    <row r="17" spans="1:12" x14ac:dyDescent="0.25">
      <c r="A17" s="14">
        <v>45679</v>
      </c>
      <c r="B17">
        <v>6081.39013671875</v>
      </c>
      <c r="C17">
        <v>6100.81005859375</v>
      </c>
      <c r="D17">
        <v>6076.1298828125</v>
      </c>
      <c r="E17">
        <v>6086.3701171875</v>
      </c>
      <c r="F17">
        <v>4323040000</v>
      </c>
      <c r="G17">
        <v>6086.3701171875</v>
      </c>
    </row>
    <row r="18" spans="1:12" x14ac:dyDescent="0.25">
      <c r="A18" s="14">
        <v>45680</v>
      </c>
      <c r="B18">
        <v>6076.31982421875</v>
      </c>
      <c r="C18">
        <v>6118.72998046875</v>
      </c>
      <c r="D18">
        <v>6074.669921875</v>
      </c>
      <c r="E18">
        <v>6118.7099609375</v>
      </c>
      <c r="F18">
        <v>4432250000</v>
      </c>
      <c r="G18">
        <v>6118.7099609375</v>
      </c>
    </row>
    <row r="19" spans="1:12" x14ac:dyDescent="0.25">
      <c r="A19" s="14">
        <v>45681</v>
      </c>
      <c r="B19">
        <v>6121.43017578125</v>
      </c>
      <c r="C19">
        <v>6128.18017578125</v>
      </c>
      <c r="D19">
        <v>6088.740234375</v>
      </c>
      <c r="E19">
        <v>6101.240234375</v>
      </c>
      <c r="F19">
        <v>4214250000</v>
      </c>
      <c r="G19">
        <v>6101.240234375</v>
      </c>
    </row>
    <row r="20" spans="1:12" x14ac:dyDescent="0.25">
      <c r="A20" s="14">
        <v>45684</v>
      </c>
      <c r="B20">
        <v>5969.0400390625</v>
      </c>
      <c r="C20">
        <v>6017.169921875</v>
      </c>
      <c r="D20">
        <v>5962.919921875</v>
      </c>
      <c r="E20">
        <v>6012.27978515625</v>
      </c>
      <c r="F20">
        <v>5198750000</v>
      </c>
      <c r="G20">
        <v>6012.27978515625</v>
      </c>
    </row>
    <row r="21" spans="1:12" x14ac:dyDescent="0.25">
      <c r="A21" s="14">
        <v>45685</v>
      </c>
      <c r="B21">
        <v>6026.97021484375</v>
      </c>
      <c r="C21">
        <v>6074.5400390625</v>
      </c>
      <c r="D21">
        <v>5994.6298828125</v>
      </c>
      <c r="E21">
        <v>6067.7001953125</v>
      </c>
      <c r="F21">
        <v>4473640000</v>
      </c>
      <c r="G21">
        <v>6067.7001953125</v>
      </c>
    </row>
    <row r="22" spans="1:12" x14ac:dyDescent="0.25">
      <c r="A22" s="14">
        <v>45686</v>
      </c>
      <c r="B22">
        <v>6057.7001953125</v>
      </c>
      <c r="C22">
        <v>6062.830078125</v>
      </c>
      <c r="D22">
        <v>6012.9599609375</v>
      </c>
      <c r="E22">
        <v>6039.31005859375</v>
      </c>
      <c r="F22">
        <v>4115310000</v>
      </c>
      <c r="G22">
        <v>6039.31005859375</v>
      </c>
      <c r="I22" t="s">
        <v>45</v>
      </c>
      <c r="J22" t="s">
        <v>46</v>
      </c>
      <c r="K22" t="s">
        <v>48</v>
      </c>
      <c r="L22" t="s">
        <v>47</v>
      </c>
    </row>
    <row r="23" spans="1:12" x14ac:dyDescent="0.25">
      <c r="A23" s="14">
        <v>45687</v>
      </c>
      <c r="B23">
        <v>6050.75</v>
      </c>
      <c r="C23">
        <v>6086.64013671875</v>
      </c>
      <c r="D23">
        <v>6027.4599609375</v>
      </c>
      <c r="E23">
        <v>6071.169921875</v>
      </c>
      <c r="F23">
        <v>4634620000</v>
      </c>
      <c r="G23">
        <v>6071.169921875</v>
      </c>
      <c r="I23" s="14">
        <v>46023</v>
      </c>
      <c r="J23">
        <f>_xlfn.FORECAST.LINEAR(Table3[[#This Row],[Futrue Date]], Table2[GSPC.Adjusted], Table2[Date])</f>
        <v>6890.071985863673</v>
      </c>
      <c r="L23" t="str">
        <f>IF(ISBLANK(Table3[[#This Row],[Actual Adjusted Close]]), "", (Table3[[#This Row],[Actual Adjusted Close]]-Table3[[#This Row],[Predicted Adjusted Close]])^2)</f>
        <v/>
      </c>
    </row>
    <row r="24" spans="1:12" x14ac:dyDescent="0.25">
      <c r="A24" s="14">
        <v>45688</v>
      </c>
      <c r="B24">
        <v>6096.7900390625</v>
      </c>
      <c r="C24">
        <v>6120.91015625</v>
      </c>
      <c r="D24">
        <v>6030.93017578125</v>
      </c>
      <c r="E24">
        <v>6040.52978515625</v>
      </c>
      <c r="F24">
        <v>4843770000</v>
      </c>
      <c r="G24">
        <v>6040.52978515625</v>
      </c>
      <c r="I24" s="14">
        <v>46024</v>
      </c>
      <c r="J24">
        <f>_xlfn.FORECAST.LINEAR(Table3[[#This Row],[Futrue Date]], Table2[GSPC.Adjusted], Table2[Date])</f>
        <v>6893.7816012820404</v>
      </c>
      <c r="K24">
        <v>6858.47</v>
      </c>
      <c r="L24">
        <f>IF(ISBLANK(Table3[[#This Row],[Actual Adjusted Close]]), "", (Table3[[#This Row],[Actual Adjusted Close]]-Table3[[#This Row],[Predicted Adjusted Close]])^2)</f>
        <v>1246.9091851017761</v>
      </c>
    </row>
    <row r="25" spans="1:12" x14ac:dyDescent="0.25">
      <c r="A25" s="14">
        <v>45691</v>
      </c>
      <c r="B25">
        <v>5969.64990234375</v>
      </c>
      <c r="C25">
        <v>6022.1298828125</v>
      </c>
      <c r="D25">
        <v>5923.93017578125</v>
      </c>
      <c r="E25">
        <v>5994.56982421875</v>
      </c>
      <c r="F25">
        <v>4797210000</v>
      </c>
      <c r="G25">
        <v>5994.56982421875</v>
      </c>
      <c r="I25" s="14">
        <v>46025</v>
      </c>
      <c r="J25">
        <f>_xlfn.FORECAST.LINEAR(Table3[[#This Row],[Futrue Date]], Table2[GSPC.Adjusted], Table2[Date])</f>
        <v>6897.4912167004077</v>
      </c>
      <c r="L25" t="str">
        <f>IF(ISBLANK(Table3[[#This Row],[Actual Adjusted Close]]), "", (Table3[[#This Row],[Actual Adjusted Close]]-Table3[[#This Row],[Predicted Adjusted Close]])^2)</f>
        <v/>
      </c>
    </row>
    <row r="26" spans="1:12" x14ac:dyDescent="0.25">
      <c r="A26" s="14">
        <v>45692</v>
      </c>
      <c r="B26">
        <v>5998.14013671875</v>
      </c>
      <c r="C26">
        <v>6042.47998046875</v>
      </c>
      <c r="D26">
        <v>5990.8701171875</v>
      </c>
      <c r="E26">
        <v>6037.8798828125</v>
      </c>
      <c r="F26">
        <v>4410160000</v>
      </c>
      <c r="G26">
        <v>6037.8798828125</v>
      </c>
      <c r="I26" s="14">
        <v>46026</v>
      </c>
      <c r="J26">
        <f>_xlfn.FORECAST.LINEAR(Table3[[#This Row],[Futrue Date]], Table2[GSPC.Adjusted], Table2[Date])</f>
        <v>6901.200832118775</v>
      </c>
      <c r="L26" t="str">
        <f>IF(ISBLANK(Table3[[#This Row],[Actual Adjusted Close]]), "", (Table3[[#This Row],[Actual Adjusted Close]]-Table3[[#This Row],[Predicted Adjusted Close]])^2)</f>
        <v/>
      </c>
    </row>
    <row r="27" spans="1:12" x14ac:dyDescent="0.25">
      <c r="A27" s="14">
        <v>45693</v>
      </c>
      <c r="B27">
        <v>6020.4501953125</v>
      </c>
      <c r="C27">
        <v>6062.85986328125</v>
      </c>
      <c r="D27">
        <v>6007.06005859375</v>
      </c>
      <c r="E27">
        <v>6061.47998046875</v>
      </c>
      <c r="F27">
        <v>4756250000</v>
      </c>
      <c r="G27">
        <v>6061.47998046875</v>
      </c>
      <c r="I27" s="14">
        <v>46027</v>
      </c>
      <c r="J27">
        <f>_xlfn.FORECAST.LINEAR(Table3[[#This Row],[Futrue Date]], Table2[GSPC.Adjusted], Table2[Date])</f>
        <v>6904.9104475371423</v>
      </c>
      <c r="K27">
        <v>6902.05</v>
      </c>
      <c r="L27">
        <f>IF(ISBLANK(Table3[[#This Row],[Actual Adjusted Close]]), "", (Table3[[#This Row],[Actual Adjusted Close]]-Table3[[#This Row],[Predicted Adjusted Close]])^2)</f>
        <v>8.1821601127425101</v>
      </c>
    </row>
    <row r="28" spans="1:12" x14ac:dyDescent="0.25">
      <c r="A28" s="14">
        <v>45694</v>
      </c>
      <c r="B28">
        <v>6072.22021484375</v>
      </c>
      <c r="C28">
        <v>6084.02978515625</v>
      </c>
      <c r="D28">
        <v>6046.830078125</v>
      </c>
      <c r="E28">
        <v>6083.56982421875</v>
      </c>
      <c r="F28">
        <v>4847120000</v>
      </c>
      <c r="G28">
        <v>6083.56982421875</v>
      </c>
      <c r="I28" s="14">
        <v>46028</v>
      </c>
      <c r="J28">
        <f>_xlfn.FORECAST.LINEAR(Table3[[#This Row],[Futrue Date]], Table2[GSPC.Adjusted], Table2[Date])</f>
        <v>6908.6200629555096</v>
      </c>
      <c r="K28">
        <v>6944.82</v>
      </c>
      <c r="L28">
        <f>IF(ISBLANK(Table3[[#This Row],[Actual Adjusted Close]]), "", (Table3[[#This Row],[Actual Adjusted Close]]-Table3[[#This Row],[Predicted Adjusted Close]])^2)</f>
        <v>1310.4354420250445</v>
      </c>
    </row>
    <row r="29" spans="1:12" x14ac:dyDescent="0.25">
      <c r="A29" s="14">
        <v>45695</v>
      </c>
      <c r="B29">
        <v>6083.1298828125</v>
      </c>
      <c r="C29">
        <v>6101.27978515625</v>
      </c>
      <c r="D29">
        <v>6019.9599609375</v>
      </c>
      <c r="E29">
        <v>6025.990234375</v>
      </c>
      <c r="F29">
        <v>4766900000</v>
      </c>
      <c r="G29">
        <v>6025.990234375</v>
      </c>
      <c r="I29" s="14">
        <v>46029</v>
      </c>
      <c r="J29">
        <f>_xlfn.FORECAST.LINEAR(Table3[[#This Row],[Futrue Date]], Table2[GSPC.Adjusted], Table2[Date])</f>
        <v>6912.329678373877</v>
      </c>
      <c r="K29">
        <v>6920.93</v>
      </c>
      <c r="L29">
        <f>IF(ISBLANK(Table3[[#This Row],[Actual Adjusted Close]]), "", (Table3[[#This Row],[Actual Adjusted Close]]-Table3[[#This Row],[Predicted Adjusted Close]])^2)</f>
        <v>73.965532072764674</v>
      </c>
    </row>
    <row r="30" spans="1:12" x14ac:dyDescent="0.25">
      <c r="A30" s="14">
        <v>45698</v>
      </c>
      <c r="B30">
        <v>6046.39990234375</v>
      </c>
      <c r="C30">
        <v>6073.3798828125</v>
      </c>
      <c r="D30">
        <v>6044.83984375</v>
      </c>
      <c r="E30">
        <v>6066.43994140625</v>
      </c>
      <c r="F30">
        <v>4458760000</v>
      </c>
      <c r="G30">
        <v>6066.43994140625</v>
      </c>
      <c r="I30" s="14">
        <v>46030</v>
      </c>
      <c r="J30">
        <f>_xlfn.FORECAST.LINEAR(Table3[[#This Row],[Futrue Date]], Table2[GSPC.Adjusted], Table2[Date])</f>
        <v>6916.0392937922443</v>
      </c>
      <c r="K30">
        <v>6921.46</v>
      </c>
      <c r="L30">
        <f>IF(ISBLANK(Table3[[#This Row],[Actual Adjusted Close]]), "", (Table3[[#This Row],[Actual Adjusted Close]]-Table3[[#This Row],[Predicted Adjusted Close]])^2)</f>
        <v>29.384055790801796</v>
      </c>
    </row>
    <row r="31" spans="1:12" x14ac:dyDescent="0.25">
      <c r="A31" s="14">
        <v>45699</v>
      </c>
      <c r="B31">
        <v>6049.31982421875</v>
      </c>
      <c r="C31">
        <v>6076.27978515625</v>
      </c>
      <c r="D31">
        <v>6042.33984375</v>
      </c>
      <c r="E31">
        <v>6068.5</v>
      </c>
      <c r="F31">
        <v>4324880000</v>
      </c>
      <c r="G31">
        <v>6068.5</v>
      </c>
      <c r="I31" s="14">
        <v>46031</v>
      </c>
      <c r="J31">
        <f>_xlfn.FORECAST.LINEAR(Table3[[#This Row],[Futrue Date]], Table2[GSPC.Adjusted], Table2[Date])</f>
        <v>6919.7489092106116</v>
      </c>
      <c r="K31">
        <v>6966.28</v>
      </c>
      <c r="L31">
        <f>IF(ISBLANK(Table3[[#This Row],[Actual Adjusted Close]]), "", (Table3[[#This Row],[Actual Adjusted Close]]-Table3[[#This Row],[Predicted Adjusted Close]])^2)</f>
        <v>2165.1424100502823</v>
      </c>
    </row>
    <row r="32" spans="1:12" x14ac:dyDescent="0.25">
      <c r="A32" s="14">
        <v>45700</v>
      </c>
      <c r="B32">
        <v>6025.080078125</v>
      </c>
      <c r="C32">
        <v>6063</v>
      </c>
      <c r="D32">
        <v>6003</v>
      </c>
      <c r="E32">
        <v>6051.97021484375</v>
      </c>
      <c r="F32">
        <v>4627960000</v>
      </c>
      <c r="G32">
        <v>6051.97021484375</v>
      </c>
      <c r="I32" s="14">
        <v>46032</v>
      </c>
      <c r="J32">
        <f>_xlfn.FORECAST.LINEAR(Table3[[#This Row],[Futrue Date]], Table2[GSPC.Adjusted], Table2[Date])</f>
        <v>6923.4585246289789</v>
      </c>
      <c r="L32" t="str">
        <f>IF(ISBLANK(Table3[[#This Row],[Actual Adjusted Close]]), "", (Table3[[#This Row],[Actual Adjusted Close]]-Table3[[#This Row],[Predicted Adjusted Close]])^2)</f>
        <v/>
      </c>
    </row>
    <row r="33" spans="1:12" x14ac:dyDescent="0.25">
      <c r="A33" s="14">
        <v>45701</v>
      </c>
      <c r="B33">
        <v>6060.58984375</v>
      </c>
      <c r="C33">
        <v>6116.91015625</v>
      </c>
      <c r="D33">
        <v>6050.9501953125</v>
      </c>
      <c r="E33">
        <v>6115.06982421875</v>
      </c>
      <c r="F33">
        <v>4763800000</v>
      </c>
      <c r="G33">
        <v>6115.06982421875</v>
      </c>
      <c r="I33" s="14">
        <v>46033</v>
      </c>
      <c r="J33">
        <f>_xlfn.FORECAST.LINEAR(Table3[[#This Row],[Futrue Date]], Table2[GSPC.Adjusted], Table2[Date])</f>
        <v>6927.1681400473462</v>
      </c>
      <c r="L33" t="str">
        <f>IF(ISBLANK(Table3[[#This Row],[Actual Adjusted Close]]), "", (Table3[[#This Row],[Actual Adjusted Close]]-Table3[[#This Row],[Predicted Adjusted Close]])^2)</f>
        <v/>
      </c>
    </row>
    <row r="34" spans="1:12" x14ac:dyDescent="0.25">
      <c r="A34" s="14">
        <v>45702</v>
      </c>
      <c r="B34">
        <v>6115.52001953125</v>
      </c>
      <c r="C34">
        <v>6127.47021484375</v>
      </c>
      <c r="D34">
        <v>6107.6201171875</v>
      </c>
      <c r="E34">
        <v>6114.6298828125</v>
      </c>
      <c r="F34">
        <v>4335190000</v>
      </c>
      <c r="G34">
        <v>6114.6298828125</v>
      </c>
      <c r="I34" s="14">
        <v>46034</v>
      </c>
      <c r="J34">
        <f>_xlfn.FORECAST.LINEAR(Table3[[#This Row],[Futrue Date]], Table2[GSPC.Adjusted], Table2[Date])</f>
        <v>6930.8777554657136</v>
      </c>
      <c r="K34">
        <v>6977.27</v>
      </c>
      <c r="L34">
        <f>IF(ISBLANK(Table3[[#This Row],[Actual Adjusted Close]]), "", (Table3[[#This Row],[Actual Adjusted Close]]-Table3[[#This Row],[Predicted Adjusted Close]])^2)</f>
        <v>2152.2403529290705</v>
      </c>
    </row>
    <row r="35" spans="1:12" x14ac:dyDescent="0.25">
      <c r="A35" s="14">
        <v>45706</v>
      </c>
      <c r="B35">
        <v>6121.60009765625</v>
      </c>
      <c r="C35">
        <v>6129.6298828125</v>
      </c>
      <c r="D35">
        <v>6099.509765625</v>
      </c>
      <c r="E35">
        <v>6129.580078125</v>
      </c>
      <c r="F35">
        <v>4684980000</v>
      </c>
      <c r="G35">
        <v>6129.580078125</v>
      </c>
      <c r="I35" s="14">
        <v>46035</v>
      </c>
      <c r="J35">
        <f>_xlfn.FORECAST.LINEAR(Table3[[#This Row],[Futrue Date]], Table2[GSPC.Adjusted], Table2[Date])</f>
        <v>6934.5873708840809</v>
      </c>
      <c r="K35">
        <v>6963.74</v>
      </c>
      <c r="L35">
        <f>IF(ISBLANK(Table3[[#This Row],[Actual Adjusted Close]]), "", (Table3[[#This Row],[Actual Adjusted Close]]-Table3[[#This Row],[Predicted Adjusted Close]])^2)</f>
        <v>849.87578437032232</v>
      </c>
    </row>
    <row r="36" spans="1:12" x14ac:dyDescent="0.25">
      <c r="A36" s="14">
        <v>45707</v>
      </c>
      <c r="B36">
        <v>6117.759765625</v>
      </c>
      <c r="C36">
        <v>6147.43017578125</v>
      </c>
      <c r="D36">
        <v>6111.14990234375</v>
      </c>
      <c r="E36">
        <v>6144.14990234375</v>
      </c>
      <c r="F36">
        <v>4562330000</v>
      </c>
      <c r="G36">
        <v>6144.14990234375</v>
      </c>
      <c r="I36" s="14">
        <v>46036</v>
      </c>
      <c r="J36">
        <f>_xlfn.FORECAST.LINEAR(Table3[[#This Row],[Futrue Date]], Table2[GSPC.Adjusted], Table2[Date])</f>
        <v>6938.2969863024482</v>
      </c>
      <c r="K36">
        <v>6926.6</v>
      </c>
      <c r="L36">
        <f>IF(ISBLANK(Table3[[#This Row],[Actual Adjusted Close]]), "", (Table3[[#This Row],[Actual Adjusted Close]]-Table3[[#This Row],[Predicted Adjusted Close]])^2)</f>
        <v>136.8194885596524</v>
      </c>
    </row>
    <row r="37" spans="1:12" x14ac:dyDescent="0.25">
      <c r="A37" s="14">
        <v>45708</v>
      </c>
      <c r="B37">
        <v>6134.5</v>
      </c>
      <c r="C37">
        <v>6134.5</v>
      </c>
      <c r="D37">
        <v>6084.58984375</v>
      </c>
      <c r="E37">
        <v>6117.52001953125</v>
      </c>
      <c r="F37">
        <v>4813690000</v>
      </c>
      <c r="G37">
        <v>6117.52001953125</v>
      </c>
      <c r="I37" s="14">
        <v>46037</v>
      </c>
      <c r="J37">
        <f>_xlfn.FORECAST.LINEAR(Table3[[#This Row],[Futrue Date]], Table2[GSPC.Adjusted], Table2[Date])</f>
        <v>6942.0066017207864</v>
      </c>
      <c r="K37">
        <v>6944.47</v>
      </c>
      <c r="L37">
        <f>IF(ISBLANK(Table3[[#This Row],[Actual Adjusted Close]]), "", (Table3[[#This Row],[Actual Adjusted Close]]-Table3[[#This Row],[Predicted Adjusted Close]])^2)</f>
        <v>6.0683310820336782</v>
      </c>
    </row>
    <row r="38" spans="1:12" x14ac:dyDescent="0.25">
      <c r="A38" s="14">
        <v>45709</v>
      </c>
      <c r="B38">
        <v>6114.10009765625</v>
      </c>
      <c r="C38">
        <v>6114.81982421875</v>
      </c>
      <c r="D38">
        <v>6008.56005859375</v>
      </c>
      <c r="E38">
        <v>6013.1298828125</v>
      </c>
      <c r="F38">
        <v>5434560000</v>
      </c>
      <c r="G38">
        <v>6013.1298828125</v>
      </c>
      <c r="I38" s="14">
        <v>46038</v>
      </c>
      <c r="J38">
        <f>_xlfn.FORECAST.LINEAR(Table3[[#This Row],[Futrue Date]], Table2[GSPC.Adjusted], Table2[Date])</f>
        <v>6945.7162171391537</v>
      </c>
      <c r="K38">
        <v>6940.01</v>
      </c>
      <c r="L38">
        <f>IF(ISBLANK(Table3[[#This Row],[Actual Adjusted Close]]), "", (Table3[[#This Row],[Actual Adjusted Close]]-Table3[[#This Row],[Predicted Adjusted Close]])^2)</f>
        <v>32.560914039169418</v>
      </c>
    </row>
    <row r="39" spans="1:12" x14ac:dyDescent="0.25">
      <c r="A39" s="14">
        <v>45712</v>
      </c>
      <c r="B39">
        <v>6026.68994140625</v>
      </c>
      <c r="C39">
        <v>6043.64990234375</v>
      </c>
      <c r="D39">
        <v>5977.830078125</v>
      </c>
      <c r="E39">
        <v>5983.25</v>
      </c>
      <c r="F39">
        <v>4990120000</v>
      </c>
      <c r="G39">
        <v>5983.25</v>
      </c>
      <c r="I39" s="14">
        <v>46039</v>
      </c>
      <c r="J39">
        <f>_xlfn.FORECAST.LINEAR(Table3[[#This Row],[Futrue Date]], Table2[GSPC.Adjusted], Table2[Date])</f>
        <v>6949.4258325575211</v>
      </c>
      <c r="L39" t="str">
        <f>IF(ISBLANK(Table3[[#This Row],[Actual Adjusted Close]]), "", (Table3[[#This Row],[Actual Adjusted Close]]-Table3[[#This Row],[Predicted Adjusted Close]])^2)</f>
        <v/>
      </c>
    </row>
    <row r="40" spans="1:12" x14ac:dyDescent="0.25">
      <c r="A40" s="14">
        <v>45713</v>
      </c>
      <c r="B40">
        <v>5982.72998046875</v>
      </c>
      <c r="C40">
        <v>5992.64990234375</v>
      </c>
      <c r="D40">
        <v>5908.490234375</v>
      </c>
      <c r="E40">
        <v>5955.25</v>
      </c>
      <c r="F40">
        <v>5374690000</v>
      </c>
      <c r="G40">
        <v>5955.25</v>
      </c>
      <c r="I40" s="14">
        <v>46040</v>
      </c>
      <c r="J40">
        <f>_xlfn.FORECAST.LINEAR(Table3[[#This Row],[Futrue Date]], Table2[GSPC.Adjusted], Table2[Date])</f>
        <v>6953.1354479758884</v>
      </c>
      <c r="L40" t="str">
        <f>IF(ISBLANK(Table3[[#This Row],[Actual Adjusted Close]]), "", (Table3[[#This Row],[Actual Adjusted Close]]-Table3[[#This Row],[Predicted Adjusted Close]])^2)</f>
        <v/>
      </c>
    </row>
    <row r="41" spans="1:12" x14ac:dyDescent="0.25">
      <c r="A41" s="14">
        <v>45714</v>
      </c>
      <c r="B41">
        <v>5970.8701171875</v>
      </c>
      <c r="C41">
        <v>6009.81982421875</v>
      </c>
      <c r="D41">
        <v>5932.68994140625</v>
      </c>
      <c r="E41">
        <v>5956.06005859375</v>
      </c>
      <c r="F41">
        <v>4869580000</v>
      </c>
      <c r="G41">
        <v>5956.06005859375</v>
      </c>
      <c r="I41" s="14">
        <v>46041</v>
      </c>
      <c r="J41">
        <f>_xlfn.FORECAST.LINEAR(Table3[[#This Row],[Futrue Date]], Table2[GSPC.Adjusted], Table2[Date])</f>
        <v>6956.8450633942557</v>
      </c>
      <c r="L41" t="str">
        <f>IF(ISBLANK(Table3[[#This Row],[Actual Adjusted Close]]), "", (Table3[[#This Row],[Actual Adjusted Close]]-Table3[[#This Row],[Predicted Adjusted Close]])^2)</f>
        <v/>
      </c>
    </row>
    <row r="42" spans="1:12" x14ac:dyDescent="0.25">
      <c r="A42" s="14">
        <v>45715</v>
      </c>
      <c r="B42">
        <v>5981.8798828125</v>
      </c>
      <c r="C42">
        <v>5993.68994140625</v>
      </c>
      <c r="D42">
        <v>5858.77978515625</v>
      </c>
      <c r="E42">
        <v>5861.56982421875</v>
      </c>
      <c r="F42">
        <v>5057680000</v>
      </c>
      <c r="G42">
        <v>5861.56982421875</v>
      </c>
      <c r="I42" s="14">
        <v>46042</v>
      </c>
      <c r="J42">
        <f>_xlfn.FORECAST.LINEAR(Table3[[#This Row],[Futrue Date]], Table2[GSPC.Adjusted], Table2[Date])</f>
        <v>6960.554678812623</v>
      </c>
      <c r="K42">
        <v>6796.86</v>
      </c>
      <c r="L42">
        <f>IF(ISBLANK(Table3[[#This Row],[Actual Adjusted Close]]), "", (Table3[[#This Row],[Actual Adjusted Close]]-Table3[[#This Row],[Predicted Adjusted Close]])^2)</f>
        <v>26795.947871567922</v>
      </c>
    </row>
    <row r="43" spans="1:12" x14ac:dyDescent="0.25">
      <c r="A43" s="14">
        <v>45716</v>
      </c>
      <c r="B43">
        <v>5856.740234375</v>
      </c>
      <c r="C43">
        <v>5959.39990234375</v>
      </c>
      <c r="D43">
        <v>5837.66015625</v>
      </c>
      <c r="E43">
        <v>5954.5</v>
      </c>
      <c r="F43">
        <v>6441140000</v>
      </c>
      <c r="G43">
        <v>5954.5</v>
      </c>
      <c r="I43" s="14">
        <v>46043</v>
      </c>
      <c r="J43">
        <f>_xlfn.FORECAST.LINEAR(Table3[[#This Row],[Futrue Date]], Table2[GSPC.Adjusted], Table2[Date])</f>
        <v>6964.2642942309903</v>
      </c>
      <c r="K43">
        <v>6875.62</v>
      </c>
      <c r="L43">
        <f>IF(ISBLANK(Table3[[#This Row],[Actual Adjusted Close]]), "", (Table3[[#This Row],[Actual Adjusted Close]]-Table3[[#This Row],[Predicted Adjusted Close]])^2)</f>
        <v>7857.8108997104073</v>
      </c>
    </row>
    <row r="44" spans="1:12" x14ac:dyDescent="0.25">
      <c r="A44" s="14">
        <v>45719</v>
      </c>
      <c r="B44">
        <v>5968.330078125</v>
      </c>
      <c r="C44">
        <v>5986.08984375</v>
      </c>
      <c r="D44">
        <v>5810.91015625</v>
      </c>
      <c r="E44">
        <v>5849.72021484375</v>
      </c>
      <c r="F44">
        <v>5613850000</v>
      </c>
      <c r="G44">
        <v>5849.72021484375</v>
      </c>
      <c r="I44" s="14">
        <v>46044</v>
      </c>
      <c r="J44">
        <f>_xlfn.FORECAST.LINEAR(Table3[[#This Row],[Futrue Date]], Table2[GSPC.Adjusted], Table2[Date])</f>
        <v>6967.9739096493577</v>
      </c>
      <c r="K44">
        <v>6913.35</v>
      </c>
      <c r="L44">
        <f>IF(ISBLANK(Table3[[#This Row],[Actual Adjusted Close]]), "", (Table3[[#This Row],[Actual Adjusted Close]]-Table3[[#This Row],[Predicted Adjusted Close]])^2)</f>
        <v>2983.7715053811498</v>
      </c>
    </row>
    <row r="45" spans="1:12" x14ac:dyDescent="0.25">
      <c r="A45" s="14">
        <v>45720</v>
      </c>
      <c r="B45">
        <v>5811.97998046875</v>
      </c>
      <c r="C45">
        <v>5865.080078125</v>
      </c>
      <c r="D45">
        <v>5732.58984375</v>
      </c>
      <c r="E45">
        <v>5778.14990234375</v>
      </c>
      <c r="F45">
        <v>6138110000</v>
      </c>
      <c r="G45">
        <v>5778.14990234375</v>
      </c>
      <c r="I45" s="14">
        <v>46045</v>
      </c>
      <c r="J45">
        <f>_xlfn.FORECAST.LINEAR(Table3[[#This Row],[Futrue Date]], Table2[GSPC.Adjusted], Table2[Date])</f>
        <v>6971.683525067725</v>
      </c>
      <c r="K45">
        <v>6915.61</v>
      </c>
      <c r="L45">
        <f>IF(ISBLANK(Table3[[#This Row],[Actual Adjusted Close]]), "", (Table3[[#This Row],[Actual Adjusted Close]]-Table3[[#This Row],[Predicted Adjusted Close]])^2)</f>
        <v>3144.240213520819</v>
      </c>
    </row>
    <row r="46" spans="1:12" x14ac:dyDescent="0.25">
      <c r="A46" s="14">
        <v>45721</v>
      </c>
      <c r="B46">
        <v>5781.35986328125</v>
      </c>
      <c r="C46">
        <v>5860.58984375</v>
      </c>
      <c r="D46">
        <v>5742.35009765625</v>
      </c>
      <c r="E46">
        <v>5842.6298828125</v>
      </c>
      <c r="F46">
        <v>5285970000</v>
      </c>
      <c r="G46">
        <v>5842.6298828125</v>
      </c>
      <c r="I46" s="14">
        <v>46046</v>
      </c>
      <c r="J46">
        <f>_xlfn.FORECAST.LINEAR(Table3[[#This Row],[Futrue Date]], Table2[GSPC.Adjusted], Table2[Date])</f>
        <v>6975.3931404860923</v>
      </c>
      <c r="L46" t="str">
        <f>IF(ISBLANK(Table3[[#This Row],[Actual Adjusted Close]]), "", (Table3[[#This Row],[Actual Adjusted Close]]-Table3[[#This Row],[Predicted Adjusted Close]])^2)</f>
        <v/>
      </c>
    </row>
    <row r="47" spans="1:12" x14ac:dyDescent="0.25">
      <c r="A47" s="14">
        <v>45722</v>
      </c>
      <c r="B47">
        <v>5785.8701171875</v>
      </c>
      <c r="C47">
        <v>5812.080078125</v>
      </c>
      <c r="D47">
        <v>5711.64013671875</v>
      </c>
      <c r="E47">
        <v>5738.52001953125</v>
      </c>
      <c r="F47">
        <v>5165080000</v>
      </c>
      <c r="G47">
        <v>5738.52001953125</v>
      </c>
      <c r="I47" s="14">
        <v>46047</v>
      </c>
      <c r="J47">
        <f>_xlfn.FORECAST.LINEAR(Table3[[#This Row],[Futrue Date]], Table2[GSPC.Adjusted], Table2[Date])</f>
        <v>6979.1027559044596</v>
      </c>
      <c r="L47" t="str">
        <f>IF(ISBLANK(Table3[[#This Row],[Actual Adjusted Close]]), "", (Table3[[#This Row],[Actual Adjusted Close]]-Table3[[#This Row],[Predicted Adjusted Close]])^2)</f>
        <v/>
      </c>
    </row>
    <row r="48" spans="1:12" x14ac:dyDescent="0.25">
      <c r="A48" s="14">
        <v>45723</v>
      </c>
      <c r="B48">
        <v>5726.009765625</v>
      </c>
      <c r="C48">
        <v>5783.009765625</v>
      </c>
      <c r="D48">
        <v>5666.2900390625</v>
      </c>
      <c r="E48">
        <v>5770.2001953125</v>
      </c>
      <c r="F48">
        <v>5705140000</v>
      </c>
      <c r="G48">
        <v>5770.2001953125</v>
      </c>
      <c r="I48" s="14">
        <v>46048</v>
      </c>
      <c r="J48">
        <f>_xlfn.FORECAST.LINEAR(Table3[[#This Row],[Futrue Date]], Table2[GSPC.Adjusted], Table2[Date])</f>
        <v>6982.8123713228269</v>
      </c>
      <c r="K48">
        <v>6950.23</v>
      </c>
      <c r="L48">
        <f>IF(ISBLANK(Table3[[#This Row],[Actual Adjusted Close]]), "", (Table3[[#This Row],[Actual Adjusted Close]]-Table3[[#This Row],[Predicted Adjusted Close]])^2)</f>
        <v>1061.6109210186044</v>
      </c>
    </row>
    <row r="49" spans="1:12" x14ac:dyDescent="0.25">
      <c r="A49" s="14">
        <v>45726</v>
      </c>
      <c r="B49">
        <v>5705.3701171875</v>
      </c>
      <c r="C49">
        <v>5705.3701171875</v>
      </c>
      <c r="D49">
        <v>5564.02001953125</v>
      </c>
      <c r="E49">
        <v>5614.56005859375</v>
      </c>
      <c r="F49">
        <v>6409370000</v>
      </c>
      <c r="G49">
        <v>5614.56005859375</v>
      </c>
      <c r="I49" s="14">
        <v>46049</v>
      </c>
      <c r="J49">
        <f>_xlfn.FORECAST.LINEAR(Table3[[#This Row],[Futrue Date]], Table2[GSPC.Adjusted], Table2[Date])</f>
        <v>6986.5219867411943</v>
      </c>
      <c r="K49">
        <v>6978.6</v>
      </c>
      <c r="L49">
        <f>IF(ISBLANK(Table3[[#This Row],[Actual Adjusted Close]]), "", (Table3[[#This Row],[Actual Adjusted Close]]-Table3[[#This Row],[Predicted Adjusted Close]])^2)</f>
        <v>62.757873927652028</v>
      </c>
    </row>
    <row r="50" spans="1:12" x14ac:dyDescent="0.25">
      <c r="A50" s="14">
        <v>45727</v>
      </c>
      <c r="B50">
        <v>5603.64990234375</v>
      </c>
      <c r="C50">
        <v>5636.2998046875</v>
      </c>
      <c r="D50">
        <v>5528.41015625</v>
      </c>
      <c r="E50">
        <v>5572.06982421875</v>
      </c>
      <c r="F50">
        <v>6221240000</v>
      </c>
      <c r="G50">
        <v>5572.06982421875</v>
      </c>
      <c r="I50" s="14">
        <v>46050</v>
      </c>
      <c r="J50">
        <f>_xlfn.FORECAST.LINEAR(Table3[[#This Row],[Futrue Date]], Table2[GSPC.Adjusted], Table2[Date])</f>
        <v>6990.2316021595616</v>
      </c>
      <c r="K50">
        <v>6978.03</v>
      </c>
      <c r="L50">
        <f>IF(ISBLANK(Table3[[#This Row],[Actual Adjusted Close]]), "", (Table3[[#This Row],[Actual Adjusted Close]]-Table3[[#This Row],[Predicted Adjusted Close]])^2)</f>
        <v>148.87909526022426</v>
      </c>
    </row>
    <row r="51" spans="1:12" x14ac:dyDescent="0.25">
      <c r="A51" s="14">
        <v>45728</v>
      </c>
      <c r="B51">
        <v>5624.83984375</v>
      </c>
      <c r="C51">
        <v>5642.18994140625</v>
      </c>
      <c r="D51">
        <v>5546.08984375</v>
      </c>
      <c r="E51">
        <v>5599.2998046875</v>
      </c>
      <c r="F51">
        <v>5219830000</v>
      </c>
      <c r="G51">
        <v>5599.2998046875</v>
      </c>
      <c r="I51" s="14">
        <v>46051</v>
      </c>
      <c r="J51">
        <f>_xlfn.FORECAST.LINEAR(Table3[[#This Row],[Futrue Date]], Table2[GSPC.Adjusted], Table2[Date])</f>
        <v>6993.9412175779289</v>
      </c>
      <c r="L51" t="str">
        <f>IF(ISBLANK(Table3[[#This Row],[Actual Adjusted Close]]), "", (Table3[[#This Row],[Actual Adjusted Close]]-Table3[[#This Row],[Predicted Adjusted Close]])^2)</f>
        <v/>
      </c>
    </row>
    <row r="52" spans="1:12" x14ac:dyDescent="0.25">
      <c r="A52" s="14">
        <v>45729</v>
      </c>
      <c r="B52">
        <v>5594.4501953125</v>
      </c>
      <c r="C52">
        <v>5597.77978515625</v>
      </c>
      <c r="D52">
        <v>5504.64990234375</v>
      </c>
      <c r="E52">
        <v>5521.52001953125</v>
      </c>
      <c r="F52">
        <v>5018980000</v>
      </c>
      <c r="G52">
        <v>5521.52001953125</v>
      </c>
      <c r="I52" s="14">
        <v>46052</v>
      </c>
      <c r="J52">
        <f>_xlfn.FORECAST.LINEAR(Table3[[#This Row],[Futrue Date]], Table2[GSPC.Adjusted], Table2[Date])</f>
        <v>6997.6508329962962</v>
      </c>
      <c r="L52" t="str">
        <f>IF(ISBLANK(Table3[[#This Row],[Actual Adjusted Close]]), "", (Table3[[#This Row],[Actual Adjusted Close]]-Table3[[#This Row],[Predicted Adjusted Close]])^2)</f>
        <v/>
      </c>
    </row>
    <row r="53" spans="1:12" x14ac:dyDescent="0.25">
      <c r="A53" s="14">
        <v>45730</v>
      </c>
      <c r="B53">
        <v>5563.85009765625</v>
      </c>
      <c r="C53">
        <v>5645.27001953125</v>
      </c>
      <c r="D53">
        <v>5563.85009765625</v>
      </c>
      <c r="E53">
        <v>5638.93994140625</v>
      </c>
      <c r="F53">
        <v>4863180000</v>
      </c>
      <c r="G53">
        <v>5638.93994140625</v>
      </c>
      <c r="I53" s="14">
        <v>46053</v>
      </c>
      <c r="J53">
        <f>_xlfn.FORECAST.LINEAR(Table3[[#This Row],[Futrue Date]], Table2[GSPC.Adjusted], Table2[Date])</f>
        <v>7001.3604484146636</v>
      </c>
      <c r="L53" t="str">
        <f>IF(ISBLANK(Table3[[#This Row],[Actual Adjusted Close]]), "", (Table3[[#This Row],[Actual Adjusted Close]]-Table3[[#This Row],[Predicted Adjusted Close]])^2)</f>
        <v/>
      </c>
    </row>
    <row r="54" spans="1:12" x14ac:dyDescent="0.25">
      <c r="A54" s="14">
        <v>45733</v>
      </c>
      <c r="B54">
        <v>5635.60009765625</v>
      </c>
      <c r="C54">
        <v>5703.52001953125</v>
      </c>
      <c r="D54">
        <v>5631.1201171875</v>
      </c>
      <c r="E54">
        <v>5675.1201171875</v>
      </c>
      <c r="F54">
        <v>5031770000</v>
      </c>
      <c r="G54">
        <v>5675.1201171875</v>
      </c>
    </row>
    <row r="55" spans="1:12" x14ac:dyDescent="0.25">
      <c r="A55" s="14">
        <v>45734</v>
      </c>
      <c r="B55">
        <v>5654.52978515625</v>
      </c>
      <c r="C55">
        <v>5654.52978515625</v>
      </c>
      <c r="D55">
        <v>5597.759765625</v>
      </c>
      <c r="E55">
        <v>5614.66015625</v>
      </c>
      <c r="F55">
        <v>4666270000</v>
      </c>
      <c r="G55">
        <v>5614.66015625</v>
      </c>
    </row>
    <row r="56" spans="1:12" x14ac:dyDescent="0.25">
      <c r="A56" s="14">
        <v>45735</v>
      </c>
      <c r="B56">
        <v>5632.3701171875</v>
      </c>
      <c r="C56">
        <v>5715.330078125</v>
      </c>
      <c r="D56">
        <v>5622.2001953125</v>
      </c>
      <c r="E56">
        <v>5675.2900390625</v>
      </c>
      <c r="F56">
        <v>4660090000</v>
      </c>
      <c r="G56">
        <v>5675.2900390625</v>
      </c>
    </row>
    <row r="57" spans="1:12" x14ac:dyDescent="0.25">
      <c r="A57" s="14">
        <v>45736</v>
      </c>
      <c r="B57">
        <v>5646.919921875</v>
      </c>
      <c r="C57">
        <v>5711.14990234375</v>
      </c>
      <c r="D57">
        <v>5632.330078125</v>
      </c>
      <c r="E57">
        <v>5662.89013671875</v>
      </c>
      <c r="F57">
        <v>4678420000</v>
      </c>
      <c r="G57">
        <v>5662.89013671875</v>
      </c>
    </row>
    <row r="58" spans="1:12" x14ac:dyDescent="0.25">
      <c r="A58" s="14">
        <v>45737</v>
      </c>
      <c r="B58">
        <v>5630.72998046875</v>
      </c>
      <c r="C58">
        <v>5670.83984375</v>
      </c>
      <c r="D58">
        <v>5603.10009765625</v>
      </c>
      <c r="E58">
        <v>5667.56005859375</v>
      </c>
      <c r="F58">
        <v>9367460000</v>
      </c>
      <c r="G58">
        <v>5667.56005859375</v>
      </c>
    </row>
    <row r="59" spans="1:12" x14ac:dyDescent="0.25">
      <c r="A59" s="14">
        <v>45740</v>
      </c>
      <c r="B59">
        <v>5718.080078125</v>
      </c>
      <c r="C59">
        <v>5775.14013671875</v>
      </c>
      <c r="D59">
        <v>5718.080078125</v>
      </c>
      <c r="E59">
        <v>5767.56982421875</v>
      </c>
      <c r="F59">
        <v>4517990000</v>
      </c>
      <c r="G59">
        <v>5767.56982421875</v>
      </c>
    </row>
    <row r="60" spans="1:12" x14ac:dyDescent="0.25">
      <c r="A60" s="14">
        <v>45741</v>
      </c>
      <c r="B60">
        <v>5775.9599609375</v>
      </c>
      <c r="C60">
        <v>5786.9501953125</v>
      </c>
      <c r="D60">
        <v>5760.419921875</v>
      </c>
      <c r="E60">
        <v>5776.64990234375</v>
      </c>
      <c r="F60">
        <v>4467340000</v>
      </c>
      <c r="G60">
        <v>5776.64990234375</v>
      </c>
    </row>
    <row r="61" spans="1:12" x14ac:dyDescent="0.25">
      <c r="A61" s="14">
        <v>45742</v>
      </c>
      <c r="B61">
        <v>5771.66015625</v>
      </c>
      <c r="C61">
        <v>5783.6201171875</v>
      </c>
      <c r="D61">
        <v>5694.41015625</v>
      </c>
      <c r="E61">
        <v>5712.2001953125</v>
      </c>
      <c r="F61">
        <v>4183140000</v>
      </c>
      <c r="G61">
        <v>5712.2001953125</v>
      </c>
    </row>
    <row r="62" spans="1:12" x14ac:dyDescent="0.25">
      <c r="A62" s="14">
        <v>45743</v>
      </c>
      <c r="B62">
        <v>5695.64013671875</v>
      </c>
      <c r="C62">
        <v>5732.27978515625</v>
      </c>
      <c r="D62">
        <v>5670.93994140625</v>
      </c>
      <c r="E62">
        <v>5693.31005859375</v>
      </c>
      <c r="F62">
        <v>4403460000</v>
      </c>
      <c r="G62">
        <v>5693.31005859375</v>
      </c>
    </row>
    <row r="63" spans="1:12" x14ac:dyDescent="0.25">
      <c r="A63" s="14">
        <v>45744</v>
      </c>
      <c r="B63">
        <v>5679.2001953125</v>
      </c>
      <c r="C63">
        <v>5685.89013671875</v>
      </c>
      <c r="D63">
        <v>5572.419921875</v>
      </c>
      <c r="E63">
        <v>5580.93994140625</v>
      </c>
      <c r="F63">
        <v>4513330000</v>
      </c>
      <c r="G63">
        <v>5580.93994140625</v>
      </c>
    </row>
    <row r="64" spans="1:12" x14ac:dyDescent="0.25">
      <c r="A64" s="14">
        <v>45747</v>
      </c>
      <c r="B64">
        <v>5527.91015625</v>
      </c>
      <c r="C64">
        <v>5627.56005859375</v>
      </c>
      <c r="D64">
        <v>5488.72998046875</v>
      </c>
      <c r="E64">
        <v>5611.85009765625</v>
      </c>
      <c r="F64">
        <v>5257250000</v>
      </c>
      <c r="G64">
        <v>5611.85009765625</v>
      </c>
    </row>
    <row r="65" spans="1:7" x14ac:dyDescent="0.25">
      <c r="A65" s="14">
        <v>45748</v>
      </c>
      <c r="B65">
        <v>5597.52978515625</v>
      </c>
      <c r="C65">
        <v>5650.56982421875</v>
      </c>
      <c r="D65">
        <v>5558.52001953125</v>
      </c>
      <c r="E65">
        <v>5633.06982421875</v>
      </c>
      <c r="F65">
        <v>4434500000</v>
      </c>
      <c r="G65">
        <v>5633.06982421875</v>
      </c>
    </row>
    <row r="66" spans="1:7" x14ac:dyDescent="0.25">
      <c r="A66" s="14">
        <v>45749</v>
      </c>
      <c r="B66">
        <v>5580.759765625</v>
      </c>
      <c r="C66">
        <v>5695.31005859375</v>
      </c>
      <c r="D66">
        <v>5571.47998046875</v>
      </c>
      <c r="E66">
        <v>5670.97021484375</v>
      </c>
      <c r="F66">
        <v>4243830000</v>
      </c>
      <c r="G66">
        <v>5670.97021484375</v>
      </c>
    </row>
    <row r="67" spans="1:7" x14ac:dyDescent="0.25">
      <c r="A67" s="14">
        <v>45750</v>
      </c>
      <c r="B67">
        <v>5492.740234375</v>
      </c>
      <c r="C67">
        <v>5499.52978515625</v>
      </c>
      <c r="D67">
        <v>5390.830078125</v>
      </c>
      <c r="E67">
        <v>5396.52001953125</v>
      </c>
      <c r="F67">
        <v>7210470000</v>
      </c>
      <c r="G67">
        <v>5396.52001953125</v>
      </c>
    </row>
    <row r="68" spans="1:7" x14ac:dyDescent="0.25">
      <c r="A68" s="14">
        <v>45751</v>
      </c>
      <c r="B68">
        <v>5292.14013671875</v>
      </c>
      <c r="C68">
        <v>5292.14013671875</v>
      </c>
      <c r="D68">
        <v>5069.89990234375</v>
      </c>
      <c r="E68">
        <v>5074.080078125</v>
      </c>
      <c r="F68">
        <v>8853500000</v>
      </c>
      <c r="G68">
        <v>5074.080078125</v>
      </c>
    </row>
    <row r="69" spans="1:7" x14ac:dyDescent="0.25">
      <c r="A69" s="14">
        <v>45754</v>
      </c>
      <c r="B69">
        <v>4953.7900390625</v>
      </c>
      <c r="C69">
        <v>5246.56982421875</v>
      </c>
      <c r="D69">
        <v>4835.0400390625</v>
      </c>
      <c r="E69">
        <v>5062.25</v>
      </c>
      <c r="F69">
        <v>8691980000</v>
      </c>
      <c r="G69">
        <v>5062.25</v>
      </c>
    </row>
    <row r="70" spans="1:7" x14ac:dyDescent="0.25">
      <c r="A70" s="14">
        <v>45755</v>
      </c>
      <c r="B70">
        <v>5193.56982421875</v>
      </c>
      <c r="C70">
        <v>5267.47021484375</v>
      </c>
      <c r="D70">
        <v>4910.419921875</v>
      </c>
      <c r="E70">
        <v>4982.77001953125</v>
      </c>
      <c r="F70">
        <v>7408140000</v>
      </c>
      <c r="G70">
        <v>4982.77001953125</v>
      </c>
    </row>
    <row r="71" spans="1:7" x14ac:dyDescent="0.25">
      <c r="A71" s="14">
        <v>45756</v>
      </c>
      <c r="B71">
        <v>4965.27978515625</v>
      </c>
      <c r="C71">
        <v>5481.33984375</v>
      </c>
      <c r="D71">
        <v>4948.43017578125</v>
      </c>
      <c r="E71">
        <v>5456.89990234375</v>
      </c>
      <c r="F71">
        <v>9489600000</v>
      </c>
      <c r="G71">
        <v>5456.89990234375</v>
      </c>
    </row>
    <row r="72" spans="1:7" x14ac:dyDescent="0.25">
      <c r="A72" s="14">
        <v>45757</v>
      </c>
      <c r="B72">
        <v>5353.14990234375</v>
      </c>
      <c r="C72">
        <v>5353.14990234375</v>
      </c>
      <c r="D72">
        <v>5115.27001953125</v>
      </c>
      <c r="E72">
        <v>5268.0498046875</v>
      </c>
      <c r="F72">
        <v>6677140000</v>
      </c>
      <c r="G72">
        <v>5268.0498046875</v>
      </c>
    </row>
    <row r="73" spans="1:7" x14ac:dyDescent="0.25">
      <c r="A73" s="14">
        <v>45758</v>
      </c>
      <c r="B73">
        <v>5255.56005859375</v>
      </c>
      <c r="C73">
        <v>5381.4599609375</v>
      </c>
      <c r="D73">
        <v>5220.77001953125</v>
      </c>
      <c r="E73">
        <v>5363.35986328125</v>
      </c>
      <c r="F73">
        <v>5602550000</v>
      </c>
      <c r="G73">
        <v>5363.35986328125</v>
      </c>
    </row>
    <row r="74" spans="1:7" x14ac:dyDescent="0.25">
      <c r="A74" s="14">
        <v>45761</v>
      </c>
      <c r="B74">
        <v>5441.9599609375</v>
      </c>
      <c r="C74">
        <v>5459.4599609375</v>
      </c>
      <c r="D74">
        <v>5358.02001953125</v>
      </c>
      <c r="E74">
        <v>5405.97021484375</v>
      </c>
      <c r="F74">
        <v>5031440000</v>
      </c>
      <c r="G74">
        <v>5405.97021484375</v>
      </c>
    </row>
    <row r="75" spans="1:7" x14ac:dyDescent="0.25">
      <c r="A75" s="14">
        <v>45762</v>
      </c>
      <c r="B75">
        <v>5411.990234375</v>
      </c>
      <c r="C75">
        <v>5450.41015625</v>
      </c>
      <c r="D75">
        <v>5386.43994140625</v>
      </c>
      <c r="E75">
        <v>5396.6298828125</v>
      </c>
      <c r="F75">
        <v>4317110000</v>
      </c>
      <c r="G75">
        <v>5396.6298828125</v>
      </c>
    </row>
    <row r="76" spans="1:7" x14ac:dyDescent="0.25">
      <c r="A76" s="14">
        <v>45763</v>
      </c>
      <c r="B76">
        <v>5335.75</v>
      </c>
      <c r="C76">
        <v>5367.240234375</v>
      </c>
      <c r="D76">
        <v>5220.7900390625</v>
      </c>
      <c r="E76">
        <v>5275.7001953125</v>
      </c>
      <c r="F76">
        <v>4607750000</v>
      </c>
      <c r="G76">
        <v>5275.7001953125</v>
      </c>
    </row>
    <row r="77" spans="1:7" x14ac:dyDescent="0.25">
      <c r="A77" s="14">
        <v>45764</v>
      </c>
      <c r="B77">
        <v>5305.4501953125</v>
      </c>
      <c r="C77">
        <v>5328.31005859375</v>
      </c>
      <c r="D77">
        <v>5255.580078125</v>
      </c>
      <c r="E77">
        <v>5282.7001953125</v>
      </c>
      <c r="F77">
        <v>4714880000</v>
      </c>
      <c r="G77">
        <v>5282.7001953125</v>
      </c>
    </row>
    <row r="78" spans="1:7" x14ac:dyDescent="0.25">
      <c r="A78" s="14">
        <v>45768</v>
      </c>
      <c r="B78">
        <v>5232.93994140625</v>
      </c>
      <c r="C78">
        <v>5232.93994140625</v>
      </c>
      <c r="D78">
        <v>5101.6298828125</v>
      </c>
      <c r="E78">
        <v>5158.2001953125</v>
      </c>
      <c r="F78">
        <v>4226340000</v>
      </c>
      <c r="G78">
        <v>5158.2001953125</v>
      </c>
    </row>
    <row r="79" spans="1:7" x14ac:dyDescent="0.25">
      <c r="A79" s="14">
        <v>45769</v>
      </c>
      <c r="B79">
        <v>5207.669921875</v>
      </c>
      <c r="C79">
        <v>5309.60986328125</v>
      </c>
      <c r="D79">
        <v>5207.669921875</v>
      </c>
      <c r="E79">
        <v>5287.759765625</v>
      </c>
      <c r="F79">
        <v>4666950000</v>
      </c>
      <c r="G79">
        <v>5287.759765625</v>
      </c>
    </row>
    <row r="80" spans="1:7" x14ac:dyDescent="0.25">
      <c r="A80" s="14">
        <v>45770</v>
      </c>
      <c r="B80">
        <v>5395.919921875</v>
      </c>
      <c r="C80">
        <v>5469.68994140625</v>
      </c>
      <c r="D80">
        <v>5356.169921875</v>
      </c>
      <c r="E80">
        <v>5375.85986328125</v>
      </c>
      <c r="F80">
        <v>5371390000</v>
      </c>
      <c r="G80">
        <v>5375.85986328125</v>
      </c>
    </row>
    <row r="81" spans="1:7" x14ac:dyDescent="0.25">
      <c r="A81" s="14">
        <v>45771</v>
      </c>
      <c r="B81">
        <v>5381.3798828125</v>
      </c>
      <c r="C81">
        <v>5489.39990234375</v>
      </c>
      <c r="D81">
        <v>5371.9599609375</v>
      </c>
      <c r="E81">
        <v>5484.77001953125</v>
      </c>
      <c r="F81">
        <v>4697710000</v>
      </c>
      <c r="G81">
        <v>5484.77001953125</v>
      </c>
    </row>
    <row r="82" spans="1:7" x14ac:dyDescent="0.25">
      <c r="A82" s="14">
        <v>45772</v>
      </c>
      <c r="B82">
        <v>5489.72998046875</v>
      </c>
      <c r="C82">
        <v>5528.10986328125</v>
      </c>
      <c r="D82">
        <v>5455.85986328125</v>
      </c>
      <c r="E82">
        <v>5525.2099609375</v>
      </c>
      <c r="F82">
        <v>4236580000</v>
      </c>
      <c r="G82">
        <v>5525.2099609375</v>
      </c>
    </row>
    <row r="83" spans="1:7" x14ac:dyDescent="0.25">
      <c r="A83" s="14">
        <v>45775</v>
      </c>
      <c r="B83">
        <v>5529.22021484375</v>
      </c>
      <c r="C83">
        <v>5553.66015625</v>
      </c>
      <c r="D83">
        <v>5468.64013671875</v>
      </c>
      <c r="E83">
        <v>5528.75</v>
      </c>
      <c r="F83">
        <v>4257880000</v>
      </c>
      <c r="G83">
        <v>5528.75</v>
      </c>
    </row>
    <row r="84" spans="1:7" x14ac:dyDescent="0.25">
      <c r="A84" s="14">
        <v>45776</v>
      </c>
      <c r="B84">
        <v>5508.8701171875</v>
      </c>
      <c r="C84">
        <v>5571.9501953125</v>
      </c>
      <c r="D84">
        <v>5505.7001953125</v>
      </c>
      <c r="E84">
        <v>5560.830078125</v>
      </c>
      <c r="F84">
        <v>4747150000</v>
      </c>
      <c r="G84">
        <v>5560.830078125</v>
      </c>
    </row>
    <row r="85" spans="1:7" x14ac:dyDescent="0.25">
      <c r="A85" s="14">
        <v>45777</v>
      </c>
      <c r="B85">
        <v>5499.43994140625</v>
      </c>
      <c r="C85">
        <v>5581.83984375</v>
      </c>
      <c r="D85">
        <v>5433.240234375</v>
      </c>
      <c r="E85">
        <v>5569.06005859375</v>
      </c>
      <c r="F85">
        <v>5449490000</v>
      </c>
      <c r="G85">
        <v>5569.06005859375</v>
      </c>
    </row>
    <row r="86" spans="1:7" x14ac:dyDescent="0.25">
      <c r="A86" s="14">
        <v>45778</v>
      </c>
      <c r="B86">
        <v>5625.14013671875</v>
      </c>
      <c r="C86">
        <v>5658.91015625</v>
      </c>
      <c r="D86">
        <v>5597.35009765625</v>
      </c>
      <c r="E86">
        <v>5604.14013671875</v>
      </c>
      <c r="F86">
        <v>4935270000</v>
      </c>
      <c r="G86">
        <v>5604.14013671875</v>
      </c>
    </row>
    <row r="87" spans="1:7" x14ac:dyDescent="0.25">
      <c r="A87" s="14">
        <v>45779</v>
      </c>
      <c r="B87">
        <v>5645.8798828125</v>
      </c>
      <c r="C87">
        <v>5700.7001953125</v>
      </c>
      <c r="D87">
        <v>5642.27978515625</v>
      </c>
      <c r="E87">
        <v>5686.669921875</v>
      </c>
      <c r="F87">
        <v>4854380000</v>
      </c>
      <c r="G87">
        <v>5686.669921875</v>
      </c>
    </row>
    <row r="88" spans="1:7" x14ac:dyDescent="0.25">
      <c r="A88" s="14">
        <v>45782</v>
      </c>
      <c r="B88">
        <v>5655.31982421875</v>
      </c>
      <c r="C88">
        <v>5683.3798828125</v>
      </c>
      <c r="D88">
        <v>5634.47998046875</v>
      </c>
      <c r="E88">
        <v>5650.3798828125</v>
      </c>
      <c r="F88">
        <v>4358260000</v>
      </c>
      <c r="G88">
        <v>5650.3798828125</v>
      </c>
    </row>
    <row r="89" spans="1:7" x14ac:dyDescent="0.25">
      <c r="A89" s="14">
        <v>45783</v>
      </c>
      <c r="B89">
        <v>5605.8701171875</v>
      </c>
      <c r="C89">
        <v>5649.580078125</v>
      </c>
      <c r="D89">
        <v>5586.0400390625</v>
      </c>
      <c r="E89">
        <v>5606.91015625</v>
      </c>
      <c r="F89">
        <v>4717260000</v>
      </c>
      <c r="G89">
        <v>5606.91015625</v>
      </c>
    </row>
    <row r="90" spans="1:7" x14ac:dyDescent="0.25">
      <c r="A90" s="14">
        <v>45784</v>
      </c>
      <c r="B90">
        <v>5614.18017578125</v>
      </c>
      <c r="C90">
        <v>5654.72998046875</v>
      </c>
      <c r="D90">
        <v>5578.64013671875</v>
      </c>
      <c r="E90">
        <v>5631.27978515625</v>
      </c>
      <c r="F90">
        <v>4987440000</v>
      </c>
      <c r="G90">
        <v>5631.27978515625</v>
      </c>
    </row>
    <row r="91" spans="1:7" x14ac:dyDescent="0.25">
      <c r="A91" s="14">
        <v>45785</v>
      </c>
      <c r="B91">
        <v>5663.60009765625</v>
      </c>
      <c r="C91">
        <v>5720.10009765625</v>
      </c>
      <c r="D91">
        <v>5635.3798828125</v>
      </c>
      <c r="E91">
        <v>5663.93994140625</v>
      </c>
      <c r="F91">
        <v>5627400000</v>
      </c>
      <c r="G91">
        <v>5663.93994140625</v>
      </c>
    </row>
    <row r="92" spans="1:7" x14ac:dyDescent="0.25">
      <c r="A92" s="14">
        <v>45786</v>
      </c>
      <c r="B92">
        <v>5679.64990234375</v>
      </c>
      <c r="C92">
        <v>5691.68994140625</v>
      </c>
      <c r="D92">
        <v>5644.14990234375</v>
      </c>
      <c r="E92">
        <v>5659.91015625</v>
      </c>
      <c r="F92">
        <v>4645090000</v>
      </c>
      <c r="G92">
        <v>5659.91015625</v>
      </c>
    </row>
    <row r="93" spans="1:7" x14ac:dyDescent="0.25">
      <c r="A93" s="14">
        <v>45789</v>
      </c>
      <c r="B93">
        <v>5807.2001953125</v>
      </c>
      <c r="C93">
        <v>5845.3701171875</v>
      </c>
      <c r="D93">
        <v>5786.080078125</v>
      </c>
      <c r="E93">
        <v>5844.18994140625</v>
      </c>
      <c r="F93">
        <v>6014580000</v>
      </c>
      <c r="G93">
        <v>5844.18994140625</v>
      </c>
    </row>
    <row r="94" spans="1:7" x14ac:dyDescent="0.25">
      <c r="A94" s="14">
        <v>45790</v>
      </c>
      <c r="B94">
        <v>5854.14990234375</v>
      </c>
      <c r="C94">
        <v>5906.64013671875</v>
      </c>
      <c r="D94">
        <v>5845.02001953125</v>
      </c>
      <c r="E94">
        <v>5886.5498046875</v>
      </c>
      <c r="F94">
        <v>5516290000</v>
      </c>
      <c r="G94">
        <v>5886.5498046875</v>
      </c>
    </row>
    <row r="95" spans="1:7" x14ac:dyDescent="0.25">
      <c r="A95" s="14">
        <v>45791</v>
      </c>
      <c r="B95">
        <v>5896.740234375</v>
      </c>
      <c r="C95">
        <v>5906.5498046875</v>
      </c>
      <c r="D95">
        <v>5872.10986328125</v>
      </c>
      <c r="E95">
        <v>5892.580078125</v>
      </c>
      <c r="F95">
        <v>5233450000</v>
      </c>
      <c r="G95">
        <v>5892.580078125</v>
      </c>
    </row>
    <row r="96" spans="1:7" x14ac:dyDescent="0.25">
      <c r="A96" s="14">
        <v>45792</v>
      </c>
      <c r="B96">
        <v>5869.81982421875</v>
      </c>
      <c r="C96">
        <v>5924.2099609375</v>
      </c>
      <c r="D96">
        <v>5865.16015625</v>
      </c>
      <c r="E96">
        <v>5916.93017578125</v>
      </c>
      <c r="F96">
        <v>4991290000</v>
      </c>
      <c r="G96">
        <v>5916.93017578125</v>
      </c>
    </row>
    <row r="97" spans="1:7" x14ac:dyDescent="0.25">
      <c r="A97" s="14">
        <v>45793</v>
      </c>
      <c r="B97">
        <v>5929.08984375</v>
      </c>
      <c r="C97">
        <v>5958.6201171875</v>
      </c>
      <c r="D97">
        <v>5907.35986328125</v>
      </c>
      <c r="E97">
        <v>5958.3798828125</v>
      </c>
      <c r="F97">
        <v>4850850000</v>
      </c>
      <c r="G97">
        <v>5958.3798828125</v>
      </c>
    </row>
    <row r="98" spans="1:7" x14ac:dyDescent="0.25">
      <c r="A98" s="14">
        <v>45796</v>
      </c>
      <c r="B98">
        <v>5902.8798828125</v>
      </c>
      <c r="C98">
        <v>5968.60986328125</v>
      </c>
      <c r="D98">
        <v>5895.68994140625</v>
      </c>
      <c r="E98">
        <v>5963.60009765625</v>
      </c>
      <c r="F98">
        <v>4144010000</v>
      </c>
      <c r="G98">
        <v>5963.60009765625</v>
      </c>
    </row>
    <row r="99" spans="1:7" x14ac:dyDescent="0.25">
      <c r="A99" s="14">
        <v>45797</v>
      </c>
      <c r="B99">
        <v>5944.66015625</v>
      </c>
      <c r="C99">
        <v>5953.06005859375</v>
      </c>
      <c r="D99">
        <v>5909.259765625</v>
      </c>
      <c r="E99">
        <v>5940.4599609375</v>
      </c>
      <c r="F99">
        <v>4416850000</v>
      </c>
      <c r="G99">
        <v>5940.4599609375</v>
      </c>
    </row>
    <row r="100" spans="1:7" x14ac:dyDescent="0.25">
      <c r="A100" s="14">
        <v>45798</v>
      </c>
      <c r="B100">
        <v>5910.18017578125</v>
      </c>
      <c r="C100">
        <v>5938.3701171875</v>
      </c>
      <c r="D100">
        <v>5830.91015625</v>
      </c>
      <c r="E100">
        <v>5844.60986328125</v>
      </c>
      <c r="F100">
        <v>5254250000</v>
      </c>
      <c r="G100">
        <v>5844.60986328125</v>
      </c>
    </row>
    <row r="101" spans="1:7" x14ac:dyDescent="0.25">
      <c r="A101" s="14">
        <v>45799</v>
      </c>
      <c r="B101">
        <v>5841.259765625</v>
      </c>
      <c r="C101">
        <v>5878.080078125</v>
      </c>
      <c r="D101">
        <v>5825.81982421875</v>
      </c>
      <c r="E101">
        <v>5842.009765625</v>
      </c>
      <c r="F101">
        <v>5157050000</v>
      </c>
      <c r="G101">
        <v>5842.009765625</v>
      </c>
    </row>
    <row r="102" spans="1:7" x14ac:dyDescent="0.25">
      <c r="A102" s="14">
        <v>45800</v>
      </c>
      <c r="B102">
        <v>5781.89013671875</v>
      </c>
      <c r="C102">
        <v>5829.509765625</v>
      </c>
      <c r="D102">
        <v>5767.41015625</v>
      </c>
      <c r="E102">
        <v>5802.81982421875</v>
      </c>
      <c r="F102">
        <v>4662820000</v>
      </c>
      <c r="G102">
        <v>5802.81982421875</v>
      </c>
    </row>
    <row r="103" spans="1:7" x14ac:dyDescent="0.25">
      <c r="A103" s="14">
        <v>45804</v>
      </c>
      <c r="B103">
        <v>5854.06982421875</v>
      </c>
      <c r="C103">
        <v>5924.330078125</v>
      </c>
      <c r="D103">
        <v>5854.06982421875</v>
      </c>
      <c r="E103">
        <v>5921.5400390625</v>
      </c>
      <c r="F103">
        <v>5366380000</v>
      </c>
      <c r="G103">
        <v>5921.5400390625</v>
      </c>
    </row>
    <row r="104" spans="1:7" x14ac:dyDescent="0.25">
      <c r="A104" s="14">
        <v>45805</v>
      </c>
      <c r="B104">
        <v>5925.5400390625</v>
      </c>
      <c r="C104">
        <v>5939.919921875</v>
      </c>
      <c r="D104">
        <v>5881.8798828125</v>
      </c>
      <c r="E104">
        <v>5888.5498046875</v>
      </c>
      <c r="F104">
        <v>4665050000</v>
      </c>
      <c r="G104">
        <v>5888.5498046875</v>
      </c>
    </row>
    <row r="105" spans="1:7" x14ac:dyDescent="0.25">
      <c r="A105" s="14">
        <v>45806</v>
      </c>
      <c r="B105">
        <v>5939.9599609375</v>
      </c>
      <c r="C105">
        <v>5943.1298828125</v>
      </c>
      <c r="D105">
        <v>5873.7998046875</v>
      </c>
      <c r="E105">
        <v>5912.169921875</v>
      </c>
      <c r="F105">
        <v>4569750000</v>
      </c>
      <c r="G105">
        <v>5912.169921875</v>
      </c>
    </row>
    <row r="106" spans="1:7" x14ac:dyDescent="0.25">
      <c r="A106" s="14">
        <v>45807</v>
      </c>
      <c r="B106">
        <v>5903.669921875</v>
      </c>
      <c r="C106">
        <v>5922.14013671875</v>
      </c>
      <c r="D106">
        <v>5843.66015625</v>
      </c>
      <c r="E106">
        <v>5911.68994140625</v>
      </c>
      <c r="F106">
        <v>6378540000</v>
      </c>
      <c r="G106">
        <v>5911.68994140625</v>
      </c>
    </row>
    <row r="107" spans="1:7" x14ac:dyDescent="0.25">
      <c r="A107" s="14">
        <v>45810</v>
      </c>
      <c r="B107">
        <v>5896.68017578125</v>
      </c>
      <c r="C107">
        <v>5937.39990234375</v>
      </c>
      <c r="D107">
        <v>5861.43017578125</v>
      </c>
      <c r="E107">
        <v>5935.93994140625</v>
      </c>
      <c r="F107">
        <v>4832240000</v>
      </c>
      <c r="G107">
        <v>5935.93994140625</v>
      </c>
    </row>
    <row r="108" spans="1:7" x14ac:dyDescent="0.25">
      <c r="A108" s="14">
        <v>45811</v>
      </c>
      <c r="B108">
        <v>5938.56005859375</v>
      </c>
      <c r="C108">
        <v>5981.35009765625</v>
      </c>
      <c r="D108">
        <v>5929</v>
      </c>
      <c r="E108">
        <v>5970.3701171875</v>
      </c>
      <c r="F108">
        <v>5026680000</v>
      </c>
      <c r="G108">
        <v>5970.3701171875</v>
      </c>
    </row>
    <row r="109" spans="1:7" x14ac:dyDescent="0.25">
      <c r="A109" s="14">
        <v>45812</v>
      </c>
      <c r="B109">
        <v>5978.93994140625</v>
      </c>
      <c r="C109">
        <v>5990.47998046875</v>
      </c>
      <c r="D109">
        <v>5966.10986328125</v>
      </c>
      <c r="E109">
        <v>5970.81005859375</v>
      </c>
      <c r="F109">
        <v>4767050000</v>
      </c>
      <c r="G109">
        <v>5970.81005859375</v>
      </c>
    </row>
    <row r="110" spans="1:7" x14ac:dyDescent="0.25">
      <c r="A110" s="14">
        <v>45813</v>
      </c>
      <c r="B110">
        <v>5985.669921875</v>
      </c>
      <c r="C110">
        <v>5999.7001953125</v>
      </c>
      <c r="D110">
        <v>5921.2001953125</v>
      </c>
      <c r="E110">
        <v>5939.2998046875</v>
      </c>
      <c r="F110">
        <v>5091850000</v>
      </c>
      <c r="G110">
        <v>5939.2998046875</v>
      </c>
    </row>
    <row r="111" spans="1:7" x14ac:dyDescent="0.25">
      <c r="A111" s="14">
        <v>45814</v>
      </c>
      <c r="B111">
        <v>5987.06005859375</v>
      </c>
      <c r="C111">
        <v>6016.8701171875</v>
      </c>
      <c r="D111">
        <v>5978.6298828125</v>
      </c>
      <c r="E111">
        <v>6000.35986328125</v>
      </c>
      <c r="F111">
        <v>4355710000</v>
      </c>
      <c r="G111">
        <v>6000.35986328125</v>
      </c>
    </row>
    <row r="112" spans="1:7" x14ac:dyDescent="0.25">
      <c r="A112" s="14">
        <v>45817</v>
      </c>
      <c r="B112">
        <v>6004.6298828125</v>
      </c>
      <c r="C112">
        <v>6021.31005859375</v>
      </c>
      <c r="D112">
        <v>5994.18017578125</v>
      </c>
      <c r="E112">
        <v>6005.8798828125</v>
      </c>
      <c r="F112">
        <v>4642360000</v>
      </c>
      <c r="G112">
        <v>6005.8798828125</v>
      </c>
    </row>
    <row r="113" spans="1:7" x14ac:dyDescent="0.25">
      <c r="A113" s="14">
        <v>45818</v>
      </c>
      <c r="B113">
        <v>6009.91015625</v>
      </c>
      <c r="C113">
        <v>6043.009765625</v>
      </c>
      <c r="D113">
        <v>6000.27978515625</v>
      </c>
      <c r="E113">
        <v>6038.81005859375</v>
      </c>
      <c r="F113">
        <v>4882880000</v>
      </c>
      <c r="G113">
        <v>6038.81005859375</v>
      </c>
    </row>
    <row r="114" spans="1:7" x14ac:dyDescent="0.25">
      <c r="A114" s="14">
        <v>45819</v>
      </c>
      <c r="B114">
        <v>6049.3798828125</v>
      </c>
      <c r="C114">
        <v>6059.39990234375</v>
      </c>
      <c r="D114">
        <v>6002.31982421875</v>
      </c>
      <c r="E114">
        <v>6022.240234375</v>
      </c>
      <c r="F114">
        <v>5111550000</v>
      </c>
      <c r="G114">
        <v>6022.240234375</v>
      </c>
    </row>
    <row r="115" spans="1:7" x14ac:dyDescent="0.25">
      <c r="A115" s="14">
        <v>45820</v>
      </c>
      <c r="B115">
        <v>6009.89990234375</v>
      </c>
      <c r="C115">
        <v>6045.43017578125</v>
      </c>
      <c r="D115">
        <v>6003.8798828125</v>
      </c>
      <c r="E115">
        <v>6045.259765625</v>
      </c>
      <c r="F115">
        <v>4669500000</v>
      </c>
      <c r="G115">
        <v>6045.259765625</v>
      </c>
    </row>
    <row r="116" spans="1:7" x14ac:dyDescent="0.25">
      <c r="A116" s="14">
        <v>45821</v>
      </c>
      <c r="B116">
        <v>6000.56005859375</v>
      </c>
      <c r="C116">
        <v>6026.16015625</v>
      </c>
      <c r="D116">
        <v>5963.2099609375</v>
      </c>
      <c r="E116">
        <v>5976.97021484375</v>
      </c>
      <c r="F116">
        <v>5258910000</v>
      </c>
      <c r="G116">
        <v>5976.97021484375</v>
      </c>
    </row>
    <row r="117" spans="1:7" x14ac:dyDescent="0.25">
      <c r="A117" s="14">
        <v>45824</v>
      </c>
      <c r="B117">
        <v>6004</v>
      </c>
      <c r="C117">
        <v>6050.830078125</v>
      </c>
      <c r="D117">
        <v>6004</v>
      </c>
      <c r="E117">
        <v>6033.10986328125</v>
      </c>
      <c r="F117">
        <v>5111710000</v>
      </c>
      <c r="G117">
        <v>6033.10986328125</v>
      </c>
    </row>
    <row r="118" spans="1:7" x14ac:dyDescent="0.25">
      <c r="A118" s="14">
        <v>45825</v>
      </c>
      <c r="B118">
        <v>6012.14990234375</v>
      </c>
      <c r="C118">
        <v>6023.25</v>
      </c>
      <c r="D118">
        <v>5974.7998046875</v>
      </c>
      <c r="E118">
        <v>5982.72021484375</v>
      </c>
      <c r="F118">
        <v>4955700000</v>
      </c>
      <c r="G118">
        <v>5982.72021484375</v>
      </c>
    </row>
    <row r="119" spans="1:7" x14ac:dyDescent="0.25">
      <c r="A119" s="14">
        <v>45826</v>
      </c>
      <c r="B119">
        <v>5987.93017578125</v>
      </c>
      <c r="C119">
        <v>6018.25</v>
      </c>
      <c r="D119">
        <v>5971.89013671875</v>
      </c>
      <c r="E119">
        <v>5980.8701171875</v>
      </c>
      <c r="F119">
        <v>5106470000</v>
      </c>
      <c r="G119">
        <v>5980.8701171875</v>
      </c>
    </row>
    <row r="120" spans="1:7" x14ac:dyDescent="0.25">
      <c r="A120" s="14">
        <v>45828</v>
      </c>
      <c r="B120">
        <v>5999.669921875</v>
      </c>
      <c r="C120">
        <v>6018.2001953125</v>
      </c>
      <c r="D120">
        <v>5952.56005859375</v>
      </c>
      <c r="E120">
        <v>5967.83984375</v>
      </c>
      <c r="F120">
        <v>7451500000</v>
      </c>
      <c r="G120">
        <v>5967.83984375</v>
      </c>
    </row>
    <row r="121" spans="1:7" x14ac:dyDescent="0.25">
      <c r="A121" s="14">
        <v>45831</v>
      </c>
      <c r="B121">
        <v>5969.669921875</v>
      </c>
      <c r="C121">
        <v>6028.77001953125</v>
      </c>
      <c r="D121">
        <v>5943.22998046875</v>
      </c>
      <c r="E121">
        <v>6025.169921875</v>
      </c>
      <c r="F121">
        <v>5597000000</v>
      </c>
      <c r="G121">
        <v>6025.169921875</v>
      </c>
    </row>
    <row r="122" spans="1:7" x14ac:dyDescent="0.25">
      <c r="A122" s="14">
        <v>45832</v>
      </c>
      <c r="B122">
        <v>6061.2099609375</v>
      </c>
      <c r="C122">
        <v>6101.759765625</v>
      </c>
      <c r="D122">
        <v>6059.25</v>
      </c>
      <c r="E122">
        <v>6092.18017578125</v>
      </c>
      <c r="F122">
        <v>5443690000</v>
      </c>
      <c r="G122">
        <v>6092.18017578125</v>
      </c>
    </row>
    <row r="123" spans="1:7" x14ac:dyDescent="0.25">
      <c r="A123" s="14">
        <v>45833</v>
      </c>
      <c r="B123">
        <v>6104.22998046875</v>
      </c>
      <c r="C123">
        <v>6108.509765625</v>
      </c>
      <c r="D123">
        <v>6080.08984375</v>
      </c>
      <c r="E123">
        <v>6092.16015625</v>
      </c>
      <c r="F123">
        <v>5171110000</v>
      </c>
      <c r="G123">
        <v>6092.16015625</v>
      </c>
    </row>
    <row r="124" spans="1:7" x14ac:dyDescent="0.25">
      <c r="A124" s="14">
        <v>45834</v>
      </c>
      <c r="B124">
        <v>6112.08984375</v>
      </c>
      <c r="C124">
        <v>6146.52001953125</v>
      </c>
      <c r="D124">
        <v>6107.27001953125</v>
      </c>
      <c r="E124">
        <v>6141.02001953125</v>
      </c>
      <c r="F124">
        <v>5308140000</v>
      </c>
      <c r="G124">
        <v>6141.02001953125</v>
      </c>
    </row>
    <row r="125" spans="1:7" x14ac:dyDescent="0.25">
      <c r="A125" s="14">
        <v>45835</v>
      </c>
      <c r="B125">
        <v>6150.7001953125</v>
      </c>
      <c r="C125">
        <v>6187.68017578125</v>
      </c>
      <c r="D125">
        <v>6132.35009765625</v>
      </c>
      <c r="E125">
        <v>6173.06982421875</v>
      </c>
      <c r="F125">
        <v>7889350000</v>
      </c>
      <c r="G125">
        <v>6173.06982421875</v>
      </c>
    </row>
    <row r="126" spans="1:7" x14ac:dyDescent="0.25">
      <c r="A126" s="14">
        <v>45838</v>
      </c>
      <c r="B126">
        <v>6193.35986328125</v>
      </c>
      <c r="C126">
        <v>6215.080078125</v>
      </c>
      <c r="D126">
        <v>6174.97021484375</v>
      </c>
      <c r="E126">
        <v>6204.9501953125</v>
      </c>
      <c r="F126">
        <v>5782900000</v>
      </c>
      <c r="G126">
        <v>6204.9501953125</v>
      </c>
    </row>
    <row r="127" spans="1:7" x14ac:dyDescent="0.25">
      <c r="A127" s="14">
        <v>45839</v>
      </c>
      <c r="B127">
        <v>6187.25</v>
      </c>
      <c r="C127">
        <v>6210.77978515625</v>
      </c>
      <c r="D127">
        <v>6177.97021484375</v>
      </c>
      <c r="E127">
        <v>6198.009765625</v>
      </c>
      <c r="F127">
        <v>6275310000</v>
      </c>
      <c r="G127">
        <v>6198.009765625</v>
      </c>
    </row>
    <row r="128" spans="1:7" x14ac:dyDescent="0.25">
      <c r="A128" s="14">
        <v>45840</v>
      </c>
      <c r="B128">
        <v>6193.8798828125</v>
      </c>
      <c r="C128">
        <v>6227.60009765625</v>
      </c>
      <c r="D128">
        <v>6188.2900390625</v>
      </c>
      <c r="E128">
        <v>6227.419921875</v>
      </c>
      <c r="F128">
        <v>5645710000</v>
      </c>
      <c r="G128">
        <v>6227.419921875</v>
      </c>
    </row>
    <row r="129" spans="1:7" x14ac:dyDescent="0.25">
      <c r="A129" s="14">
        <v>45841</v>
      </c>
      <c r="B129">
        <v>6246.4599609375</v>
      </c>
      <c r="C129">
        <v>6284.64990234375</v>
      </c>
      <c r="D129">
        <v>6246.4599609375</v>
      </c>
      <c r="E129">
        <v>6279.35009765625</v>
      </c>
      <c r="F129">
        <v>3378110000</v>
      </c>
      <c r="G129">
        <v>6279.35009765625</v>
      </c>
    </row>
    <row r="130" spans="1:7" x14ac:dyDescent="0.25">
      <c r="A130" s="14">
        <v>45845</v>
      </c>
      <c r="B130">
        <v>6259.0400390625</v>
      </c>
      <c r="C130">
        <v>6262.06982421875</v>
      </c>
      <c r="D130">
        <v>6201</v>
      </c>
      <c r="E130">
        <v>6229.97998046875</v>
      </c>
      <c r="F130">
        <v>5236740000</v>
      </c>
      <c r="G130">
        <v>6229.97998046875</v>
      </c>
    </row>
    <row r="131" spans="1:7" x14ac:dyDescent="0.25">
      <c r="A131" s="14">
        <v>45846</v>
      </c>
      <c r="B131">
        <v>6234.02978515625</v>
      </c>
      <c r="C131">
        <v>6242.7001953125</v>
      </c>
      <c r="D131">
        <v>6217.75</v>
      </c>
      <c r="E131">
        <v>6225.52001953125</v>
      </c>
      <c r="F131">
        <v>5739030000</v>
      </c>
      <c r="G131">
        <v>6225.52001953125</v>
      </c>
    </row>
    <row r="132" spans="1:7" x14ac:dyDescent="0.25">
      <c r="A132" s="14">
        <v>45847</v>
      </c>
      <c r="B132">
        <v>6243.330078125</v>
      </c>
      <c r="C132">
        <v>6269.16015625</v>
      </c>
      <c r="D132">
        <v>6231.43017578125</v>
      </c>
      <c r="E132">
        <v>6263.259765625</v>
      </c>
      <c r="F132">
        <v>4813340000</v>
      </c>
      <c r="G132">
        <v>6263.259765625</v>
      </c>
    </row>
    <row r="133" spans="1:7" x14ac:dyDescent="0.25">
      <c r="A133" s="14">
        <v>45848</v>
      </c>
      <c r="B133">
        <v>6266.7998046875</v>
      </c>
      <c r="C133">
        <v>6290.22021484375</v>
      </c>
      <c r="D133">
        <v>6251.43994140625</v>
      </c>
      <c r="E133">
        <v>6280.4599609375</v>
      </c>
      <c r="F133">
        <v>5367350000</v>
      </c>
      <c r="G133">
        <v>6280.4599609375</v>
      </c>
    </row>
    <row r="134" spans="1:7" x14ac:dyDescent="0.25">
      <c r="A134" s="14">
        <v>45849</v>
      </c>
      <c r="B134">
        <v>6255.68017578125</v>
      </c>
      <c r="C134">
        <v>6269.43994140625</v>
      </c>
      <c r="D134">
        <v>6237.60009765625</v>
      </c>
      <c r="E134">
        <v>6259.75</v>
      </c>
      <c r="F134">
        <v>4656210000</v>
      </c>
      <c r="G134">
        <v>6259.75</v>
      </c>
    </row>
    <row r="135" spans="1:7" x14ac:dyDescent="0.25">
      <c r="A135" s="14">
        <v>45852</v>
      </c>
      <c r="B135">
        <v>6255.14990234375</v>
      </c>
      <c r="C135">
        <v>6273.31005859375</v>
      </c>
      <c r="D135">
        <v>6239.22021484375</v>
      </c>
      <c r="E135">
        <v>6268.56005859375</v>
      </c>
      <c r="F135">
        <v>4722250000</v>
      </c>
      <c r="G135">
        <v>6268.56005859375</v>
      </c>
    </row>
    <row r="136" spans="1:7" x14ac:dyDescent="0.25">
      <c r="A136" s="14">
        <v>45853</v>
      </c>
      <c r="B136">
        <v>6295.2900390625</v>
      </c>
      <c r="C136">
        <v>6302.0400390625</v>
      </c>
      <c r="D136">
        <v>6241.68017578125</v>
      </c>
      <c r="E136">
        <v>6243.759765625</v>
      </c>
      <c r="F136">
        <v>5133670000</v>
      </c>
      <c r="G136">
        <v>6243.759765625</v>
      </c>
    </row>
    <row r="137" spans="1:7" x14ac:dyDescent="0.25">
      <c r="A137" s="14">
        <v>45854</v>
      </c>
      <c r="B137">
        <v>6254.5</v>
      </c>
      <c r="C137">
        <v>6268.1201171875</v>
      </c>
      <c r="D137">
        <v>6201.58984375</v>
      </c>
      <c r="E137">
        <v>6263.7001953125</v>
      </c>
      <c r="F137">
        <v>5177460000</v>
      </c>
      <c r="G137">
        <v>6263.7001953125</v>
      </c>
    </row>
    <row r="138" spans="1:7" x14ac:dyDescent="0.25">
      <c r="A138" s="14">
        <v>45855</v>
      </c>
      <c r="B138">
        <v>6263.39990234375</v>
      </c>
      <c r="C138">
        <v>6304.68994140625</v>
      </c>
      <c r="D138">
        <v>6262.27001953125</v>
      </c>
      <c r="E138">
        <v>6297.35986328125</v>
      </c>
      <c r="F138">
        <v>5512290000</v>
      </c>
      <c r="G138">
        <v>6297.35986328125</v>
      </c>
    </row>
    <row r="139" spans="1:7" x14ac:dyDescent="0.25">
      <c r="A139" s="14">
        <v>45856</v>
      </c>
      <c r="B139">
        <v>6312.9501953125</v>
      </c>
      <c r="C139">
        <v>6315.60986328125</v>
      </c>
      <c r="D139">
        <v>6285.27001953125</v>
      </c>
      <c r="E139">
        <v>6296.7900390625</v>
      </c>
      <c r="F139">
        <v>5184700000</v>
      </c>
      <c r="G139">
        <v>6296.7900390625</v>
      </c>
    </row>
    <row r="140" spans="1:7" x14ac:dyDescent="0.25">
      <c r="A140" s="14">
        <v>45859</v>
      </c>
      <c r="B140">
        <v>6304.740234375</v>
      </c>
      <c r="C140">
        <v>6336.080078125</v>
      </c>
      <c r="D140">
        <v>6303.7900390625</v>
      </c>
      <c r="E140">
        <v>6305.60009765625</v>
      </c>
      <c r="F140">
        <v>5010840000</v>
      </c>
      <c r="G140">
        <v>6305.60009765625</v>
      </c>
    </row>
    <row r="141" spans="1:7" x14ac:dyDescent="0.25">
      <c r="A141" s="14">
        <v>45860</v>
      </c>
      <c r="B141">
        <v>6306.60009765625</v>
      </c>
      <c r="C141">
        <v>6316.1201171875</v>
      </c>
      <c r="D141">
        <v>6281.7099609375</v>
      </c>
      <c r="E141">
        <v>6309.6201171875</v>
      </c>
      <c r="F141">
        <v>5662040000</v>
      </c>
      <c r="G141">
        <v>6309.6201171875</v>
      </c>
    </row>
    <row r="142" spans="1:7" x14ac:dyDescent="0.25">
      <c r="A142" s="14">
        <v>45861</v>
      </c>
      <c r="B142">
        <v>6326.89990234375</v>
      </c>
      <c r="C142">
        <v>6360.64013671875</v>
      </c>
      <c r="D142">
        <v>6317.490234375</v>
      </c>
      <c r="E142">
        <v>6358.91015625</v>
      </c>
      <c r="F142">
        <v>5642510000</v>
      </c>
      <c r="G142">
        <v>6358.91015625</v>
      </c>
    </row>
    <row r="143" spans="1:7" x14ac:dyDescent="0.25">
      <c r="A143" s="14">
        <v>45862</v>
      </c>
      <c r="B143">
        <v>6368.60009765625</v>
      </c>
      <c r="C143">
        <v>6381.31005859375</v>
      </c>
      <c r="D143">
        <v>6360.56982421875</v>
      </c>
      <c r="E143">
        <v>6363.35009765625</v>
      </c>
      <c r="F143">
        <v>5282720000</v>
      </c>
      <c r="G143">
        <v>6363.35009765625</v>
      </c>
    </row>
    <row r="144" spans="1:7" x14ac:dyDescent="0.25">
      <c r="A144" s="14">
        <v>45863</v>
      </c>
      <c r="B144">
        <v>6370.009765625</v>
      </c>
      <c r="C144">
        <v>6395.81982421875</v>
      </c>
      <c r="D144">
        <v>6368.52978515625</v>
      </c>
      <c r="E144">
        <v>6388.64013671875</v>
      </c>
      <c r="F144">
        <v>4470720000</v>
      </c>
      <c r="G144">
        <v>6388.64013671875</v>
      </c>
    </row>
    <row r="145" spans="1:7" x14ac:dyDescent="0.25">
      <c r="A145" s="14">
        <v>45866</v>
      </c>
      <c r="B145">
        <v>6397.68994140625</v>
      </c>
      <c r="C145">
        <v>6401.06982421875</v>
      </c>
      <c r="D145">
        <v>6375.7900390625</v>
      </c>
      <c r="E145">
        <v>6389.77001953125</v>
      </c>
      <c r="F145">
        <v>4565620000</v>
      </c>
      <c r="G145">
        <v>6389.77001953125</v>
      </c>
    </row>
    <row r="146" spans="1:7" x14ac:dyDescent="0.25">
      <c r="A146" s="14">
        <v>45867</v>
      </c>
      <c r="B146">
        <v>6405.6201171875</v>
      </c>
      <c r="C146">
        <v>6409.259765625</v>
      </c>
      <c r="D146">
        <v>6363.919921875</v>
      </c>
      <c r="E146">
        <v>6370.85986328125</v>
      </c>
      <c r="F146">
        <v>5076120000</v>
      </c>
      <c r="G146">
        <v>6370.85986328125</v>
      </c>
    </row>
    <row r="147" spans="1:7" x14ac:dyDescent="0.25">
      <c r="A147" s="14">
        <v>45868</v>
      </c>
      <c r="B147">
        <v>6381.22998046875</v>
      </c>
      <c r="C147">
        <v>6396.5400390625</v>
      </c>
      <c r="D147">
        <v>6336.3798828125</v>
      </c>
      <c r="E147">
        <v>6362.89990234375</v>
      </c>
      <c r="F147">
        <v>5375070000</v>
      </c>
      <c r="G147">
        <v>6362.89990234375</v>
      </c>
    </row>
    <row r="148" spans="1:7" x14ac:dyDescent="0.25">
      <c r="A148" s="14">
        <v>45869</v>
      </c>
      <c r="B148">
        <v>6427.02001953125</v>
      </c>
      <c r="C148">
        <v>6427.02001953125</v>
      </c>
      <c r="D148">
        <v>6327.64013671875</v>
      </c>
      <c r="E148">
        <v>6339.39013671875</v>
      </c>
      <c r="F148">
        <v>6077080000</v>
      </c>
      <c r="G148">
        <v>6339.39013671875</v>
      </c>
    </row>
    <row r="149" spans="1:7" x14ac:dyDescent="0.25">
      <c r="A149" s="14">
        <v>45870</v>
      </c>
      <c r="B149">
        <v>6287.27978515625</v>
      </c>
      <c r="C149">
        <v>6287.27978515625</v>
      </c>
      <c r="D149">
        <v>6212.68994140625</v>
      </c>
      <c r="E149">
        <v>6238.009765625</v>
      </c>
      <c r="F149">
        <v>5827150000</v>
      </c>
      <c r="G149">
        <v>6238.009765625</v>
      </c>
    </row>
    <row r="150" spans="1:7" x14ac:dyDescent="0.25">
      <c r="A150" s="14">
        <v>45873</v>
      </c>
      <c r="B150">
        <v>6271.7099609375</v>
      </c>
      <c r="C150">
        <v>6330.68994140625</v>
      </c>
      <c r="D150">
        <v>6271.7099609375</v>
      </c>
      <c r="E150">
        <v>6329.93994140625</v>
      </c>
      <c r="F150">
        <v>4842580000</v>
      </c>
      <c r="G150">
        <v>6329.93994140625</v>
      </c>
    </row>
    <row r="151" spans="1:7" x14ac:dyDescent="0.25">
      <c r="A151" s="14">
        <v>45874</v>
      </c>
      <c r="B151">
        <v>6336.6298828125</v>
      </c>
      <c r="C151">
        <v>6346</v>
      </c>
      <c r="D151">
        <v>6289.3701171875</v>
      </c>
      <c r="E151">
        <v>6299.18994140625</v>
      </c>
      <c r="F151">
        <v>5517410000</v>
      </c>
      <c r="G151">
        <v>6299.18994140625</v>
      </c>
    </row>
    <row r="152" spans="1:7" x14ac:dyDescent="0.25">
      <c r="A152" s="14">
        <v>45875</v>
      </c>
      <c r="B152">
        <v>6309.2998046875</v>
      </c>
      <c r="C152">
        <v>6352.830078125</v>
      </c>
      <c r="D152">
        <v>6301.10986328125</v>
      </c>
      <c r="E152">
        <v>6345.06005859375</v>
      </c>
      <c r="F152">
        <v>5408560000</v>
      </c>
      <c r="G152">
        <v>6345.06005859375</v>
      </c>
    </row>
    <row r="153" spans="1:7" x14ac:dyDescent="0.25">
      <c r="A153" s="14">
        <v>45876</v>
      </c>
      <c r="B153">
        <v>6374.31982421875</v>
      </c>
      <c r="C153">
        <v>6389.7099609375</v>
      </c>
      <c r="D153">
        <v>6310.31982421875</v>
      </c>
      <c r="E153">
        <v>6340</v>
      </c>
      <c r="F153">
        <v>5306090000</v>
      </c>
      <c r="G153">
        <v>6340</v>
      </c>
    </row>
    <row r="154" spans="1:7" x14ac:dyDescent="0.25">
      <c r="A154" s="14">
        <v>45877</v>
      </c>
      <c r="B154">
        <v>6355.22021484375</v>
      </c>
      <c r="C154">
        <v>6395.16015625</v>
      </c>
      <c r="D154">
        <v>6355.22021484375</v>
      </c>
      <c r="E154">
        <v>6389.4501953125</v>
      </c>
      <c r="F154">
        <v>4769910000</v>
      </c>
      <c r="G154">
        <v>6389.4501953125</v>
      </c>
    </row>
    <row r="155" spans="1:7" x14ac:dyDescent="0.25">
      <c r="A155" s="14">
        <v>45880</v>
      </c>
      <c r="B155">
        <v>6389.669921875</v>
      </c>
      <c r="C155">
        <v>6407.25</v>
      </c>
      <c r="D155">
        <v>6364.06005859375</v>
      </c>
      <c r="E155">
        <v>6373.4501953125</v>
      </c>
      <c r="F155">
        <v>4652400000</v>
      </c>
      <c r="G155">
        <v>6373.4501953125</v>
      </c>
    </row>
    <row r="156" spans="1:7" x14ac:dyDescent="0.25">
      <c r="A156" s="14">
        <v>45881</v>
      </c>
      <c r="B156">
        <v>6395.169921875</v>
      </c>
      <c r="C156">
        <v>6446.5498046875</v>
      </c>
      <c r="D156">
        <v>6385.759765625</v>
      </c>
      <c r="E156">
        <v>6445.759765625</v>
      </c>
      <c r="F156">
        <v>5135300000</v>
      </c>
      <c r="G156">
        <v>6445.759765625</v>
      </c>
    </row>
    <row r="157" spans="1:7" x14ac:dyDescent="0.25">
      <c r="A157" s="14">
        <v>45882</v>
      </c>
      <c r="B157">
        <v>6462.669921875</v>
      </c>
      <c r="C157">
        <v>6480.27978515625</v>
      </c>
      <c r="D157">
        <v>6445.02001953125</v>
      </c>
      <c r="E157">
        <v>6466.580078125</v>
      </c>
      <c r="F157">
        <v>5195950000</v>
      </c>
      <c r="G157">
        <v>6466.580078125</v>
      </c>
    </row>
    <row r="158" spans="1:7" x14ac:dyDescent="0.25">
      <c r="A158" s="14">
        <v>45883</v>
      </c>
      <c r="B158">
        <v>6453.4599609375</v>
      </c>
      <c r="C158">
        <v>6473.919921875</v>
      </c>
      <c r="D158">
        <v>6441.06982421875</v>
      </c>
      <c r="E158">
        <v>6468.5400390625</v>
      </c>
      <c r="F158">
        <v>4462050000</v>
      </c>
      <c r="G158">
        <v>6468.5400390625</v>
      </c>
    </row>
    <row r="159" spans="1:7" x14ac:dyDescent="0.25">
      <c r="A159" s="14">
        <v>45884</v>
      </c>
      <c r="B159">
        <v>6477.3798828125</v>
      </c>
      <c r="C159">
        <v>6481.33984375</v>
      </c>
      <c r="D159">
        <v>6441.85009765625</v>
      </c>
      <c r="E159">
        <v>6449.7998046875</v>
      </c>
      <c r="F159">
        <v>4575060000</v>
      </c>
      <c r="G159">
        <v>6449.7998046875</v>
      </c>
    </row>
    <row r="160" spans="1:7" x14ac:dyDescent="0.25">
      <c r="A160" s="14">
        <v>45887</v>
      </c>
      <c r="B160">
        <v>6445.02001953125</v>
      </c>
      <c r="C160">
        <v>6455.35009765625</v>
      </c>
      <c r="D160">
        <v>6437.7001953125</v>
      </c>
      <c r="E160">
        <v>6449.14990234375</v>
      </c>
      <c r="F160">
        <v>4162290000</v>
      </c>
      <c r="G160">
        <v>6449.14990234375</v>
      </c>
    </row>
    <row r="161" spans="1:7" x14ac:dyDescent="0.25">
      <c r="A161" s="14">
        <v>45888</v>
      </c>
      <c r="B161">
        <v>6446.240234375</v>
      </c>
      <c r="C161">
        <v>6456.47998046875</v>
      </c>
      <c r="D161">
        <v>6400.22021484375</v>
      </c>
      <c r="E161">
        <v>6411.3701171875</v>
      </c>
      <c r="F161">
        <v>4377440000</v>
      </c>
      <c r="G161">
        <v>6411.3701171875</v>
      </c>
    </row>
    <row r="162" spans="1:7" x14ac:dyDescent="0.25">
      <c r="A162" s="14">
        <v>45889</v>
      </c>
      <c r="B162">
        <v>6406.6201171875</v>
      </c>
      <c r="C162">
        <v>6408.39990234375</v>
      </c>
      <c r="D162">
        <v>6343.85986328125</v>
      </c>
      <c r="E162">
        <v>6395.77978515625</v>
      </c>
      <c r="F162">
        <v>4470390000</v>
      </c>
      <c r="G162">
        <v>6395.77978515625</v>
      </c>
    </row>
    <row r="163" spans="1:7" x14ac:dyDescent="0.25">
      <c r="A163" s="14">
        <v>45890</v>
      </c>
      <c r="B163">
        <v>6380.830078125</v>
      </c>
      <c r="C163">
        <v>6393.64990234375</v>
      </c>
      <c r="D163">
        <v>6352.7099609375</v>
      </c>
      <c r="E163">
        <v>6370.169921875</v>
      </c>
      <c r="F163">
        <v>4013560000</v>
      </c>
      <c r="G163">
        <v>6370.169921875</v>
      </c>
    </row>
    <row r="164" spans="1:7" x14ac:dyDescent="0.25">
      <c r="A164" s="14">
        <v>45891</v>
      </c>
      <c r="B164">
        <v>6384.58984375</v>
      </c>
      <c r="C164">
        <v>6478.89013671875</v>
      </c>
      <c r="D164">
        <v>6384.58984375</v>
      </c>
      <c r="E164">
        <v>6466.91015625</v>
      </c>
      <c r="F164">
        <v>5046860000</v>
      </c>
      <c r="G164">
        <v>6466.91015625</v>
      </c>
    </row>
    <row r="165" spans="1:7" x14ac:dyDescent="0.25">
      <c r="A165" s="14">
        <v>45894</v>
      </c>
      <c r="B165">
        <v>6457.669921875</v>
      </c>
      <c r="C165">
        <v>6466.89013671875</v>
      </c>
      <c r="D165">
        <v>6438.06005859375</v>
      </c>
      <c r="E165">
        <v>6439.31982421875</v>
      </c>
      <c r="F165">
        <v>4059070000</v>
      </c>
      <c r="G165">
        <v>6439.31982421875</v>
      </c>
    </row>
    <row r="166" spans="1:7" x14ac:dyDescent="0.25">
      <c r="A166" s="14">
        <v>45895</v>
      </c>
      <c r="B166">
        <v>6435.490234375</v>
      </c>
      <c r="C166">
        <v>6468.3701171875</v>
      </c>
      <c r="D166">
        <v>6429.2099609375</v>
      </c>
      <c r="E166">
        <v>6465.93994140625</v>
      </c>
      <c r="F166">
        <v>4867680000</v>
      </c>
      <c r="G166">
        <v>6465.93994140625</v>
      </c>
    </row>
    <row r="167" spans="1:7" x14ac:dyDescent="0.25">
      <c r="A167" s="14">
        <v>45896</v>
      </c>
      <c r="B167">
        <v>6462.259765625</v>
      </c>
      <c r="C167">
        <v>6487.06005859375</v>
      </c>
      <c r="D167">
        <v>6457.83984375</v>
      </c>
      <c r="E167">
        <v>6481.39990234375</v>
      </c>
      <c r="F167">
        <v>4143680000</v>
      </c>
      <c r="G167">
        <v>6481.39990234375</v>
      </c>
    </row>
    <row r="168" spans="1:7" x14ac:dyDescent="0.25">
      <c r="A168" s="14">
        <v>45897</v>
      </c>
      <c r="B168">
        <v>6483.83984375</v>
      </c>
      <c r="C168">
        <v>6508.22998046875</v>
      </c>
      <c r="D168">
        <v>6466.9599609375</v>
      </c>
      <c r="E168">
        <v>6501.85986328125</v>
      </c>
      <c r="F168">
        <v>4283760000</v>
      </c>
      <c r="G168">
        <v>6501.85986328125</v>
      </c>
    </row>
    <row r="169" spans="1:7" x14ac:dyDescent="0.25">
      <c r="A169" s="14">
        <v>45898</v>
      </c>
      <c r="B169">
        <v>6489.27978515625</v>
      </c>
      <c r="C169">
        <v>6491.759765625</v>
      </c>
      <c r="D169">
        <v>6444.56982421875</v>
      </c>
      <c r="E169">
        <v>6460.259765625</v>
      </c>
      <c r="F169">
        <v>4234840000</v>
      </c>
      <c r="G169">
        <v>6460.259765625</v>
      </c>
    </row>
    <row r="170" spans="1:7" x14ac:dyDescent="0.25">
      <c r="A170" s="14">
        <v>45902</v>
      </c>
      <c r="B170">
        <v>6401.509765625</v>
      </c>
      <c r="C170">
        <v>6416.5400390625</v>
      </c>
      <c r="D170">
        <v>6360.580078125</v>
      </c>
      <c r="E170">
        <v>6415.5400390625</v>
      </c>
      <c r="F170">
        <v>4784000000</v>
      </c>
      <c r="G170">
        <v>6415.5400390625</v>
      </c>
    </row>
    <row r="171" spans="1:7" x14ac:dyDescent="0.25">
      <c r="A171" s="14">
        <v>45903</v>
      </c>
      <c r="B171">
        <v>6445.81982421875</v>
      </c>
      <c r="C171">
        <v>6453.669921875</v>
      </c>
      <c r="D171">
        <v>6416.169921875</v>
      </c>
      <c r="E171">
        <v>6448.259765625</v>
      </c>
      <c r="F171">
        <v>4465360000</v>
      </c>
      <c r="G171">
        <v>6448.259765625</v>
      </c>
    </row>
    <row r="172" spans="1:7" x14ac:dyDescent="0.25">
      <c r="A172" s="14">
        <v>45904</v>
      </c>
      <c r="B172">
        <v>6456.60009765625</v>
      </c>
      <c r="C172">
        <v>6502.5400390625</v>
      </c>
      <c r="D172">
        <v>6445.97998046875</v>
      </c>
      <c r="E172">
        <v>6502.080078125</v>
      </c>
      <c r="F172">
        <v>4670770000</v>
      </c>
      <c r="G172">
        <v>6502.080078125</v>
      </c>
    </row>
    <row r="173" spans="1:7" x14ac:dyDescent="0.25">
      <c r="A173" s="14">
        <v>45905</v>
      </c>
      <c r="B173">
        <v>6529.080078125</v>
      </c>
      <c r="C173">
        <v>6532.64990234375</v>
      </c>
      <c r="D173">
        <v>6443.97998046875</v>
      </c>
      <c r="E173">
        <v>6481.5</v>
      </c>
      <c r="F173">
        <v>5066120000</v>
      </c>
      <c r="G173">
        <v>6481.5</v>
      </c>
    </row>
    <row r="174" spans="1:7" x14ac:dyDescent="0.25">
      <c r="A174" s="14">
        <v>45908</v>
      </c>
      <c r="B174">
        <v>6498.08984375</v>
      </c>
      <c r="C174">
        <v>6508.669921875</v>
      </c>
      <c r="D174">
        <v>6483.2900390625</v>
      </c>
      <c r="E174">
        <v>6495.14990234375</v>
      </c>
      <c r="F174">
        <v>5211500000</v>
      </c>
      <c r="G174">
        <v>6495.14990234375</v>
      </c>
    </row>
    <row r="175" spans="1:7" x14ac:dyDescent="0.25">
      <c r="A175" s="14">
        <v>45909</v>
      </c>
      <c r="B175">
        <v>6503.330078125</v>
      </c>
      <c r="C175">
        <v>6518.22998046875</v>
      </c>
      <c r="D175">
        <v>6483.080078125</v>
      </c>
      <c r="E175">
        <v>6512.60986328125</v>
      </c>
      <c r="F175">
        <v>4798350000</v>
      </c>
      <c r="G175">
        <v>6512.60986328125</v>
      </c>
    </row>
    <row r="176" spans="1:7" x14ac:dyDescent="0.25">
      <c r="A176" s="14">
        <v>45910</v>
      </c>
      <c r="B176">
        <v>6550.2900390625</v>
      </c>
      <c r="C176">
        <v>6555.97021484375</v>
      </c>
      <c r="D176">
        <v>6516.33984375</v>
      </c>
      <c r="E176">
        <v>6532.0400390625</v>
      </c>
      <c r="F176">
        <v>5253010000</v>
      </c>
      <c r="G176">
        <v>6532.0400390625</v>
      </c>
    </row>
    <row r="177" spans="1:7" x14ac:dyDescent="0.25">
      <c r="A177" s="14">
        <v>45911</v>
      </c>
      <c r="B177">
        <v>6554.41015625</v>
      </c>
      <c r="C177">
        <v>6592.89013671875</v>
      </c>
      <c r="D177">
        <v>6545.7998046875</v>
      </c>
      <c r="E177">
        <v>6587.47021484375</v>
      </c>
      <c r="F177">
        <v>5426460000</v>
      </c>
      <c r="G177">
        <v>6587.47021484375</v>
      </c>
    </row>
    <row r="178" spans="1:7" x14ac:dyDescent="0.25">
      <c r="A178" s="14">
        <v>45912</v>
      </c>
      <c r="B178">
        <v>6590.66015625</v>
      </c>
      <c r="C178">
        <v>6600.2099609375</v>
      </c>
      <c r="D178">
        <v>6579.490234375</v>
      </c>
      <c r="E178">
        <v>6584.2900390625</v>
      </c>
      <c r="F178">
        <v>4641640000</v>
      </c>
      <c r="G178">
        <v>6584.2900390625</v>
      </c>
    </row>
    <row r="179" spans="1:7" x14ac:dyDescent="0.25">
      <c r="A179" s="14">
        <v>45915</v>
      </c>
      <c r="B179">
        <v>6603.490234375</v>
      </c>
      <c r="C179">
        <v>6619.6201171875</v>
      </c>
      <c r="D179">
        <v>6602.06982421875</v>
      </c>
      <c r="E179">
        <v>6615.27978515625</v>
      </c>
      <c r="F179">
        <v>5045020000</v>
      </c>
      <c r="G179">
        <v>6615.27978515625</v>
      </c>
    </row>
    <row r="180" spans="1:7" x14ac:dyDescent="0.25">
      <c r="A180" s="14">
        <v>45916</v>
      </c>
      <c r="B180">
        <v>6624.1298828125</v>
      </c>
      <c r="C180">
        <v>6626.990234375</v>
      </c>
      <c r="D180">
        <v>6600.10986328125</v>
      </c>
      <c r="E180">
        <v>6606.759765625</v>
      </c>
      <c r="F180">
        <v>5359510000</v>
      </c>
      <c r="G180">
        <v>6606.759765625</v>
      </c>
    </row>
    <row r="181" spans="1:7" x14ac:dyDescent="0.25">
      <c r="A181" s="14">
        <v>45917</v>
      </c>
      <c r="B181">
        <v>6604.8701171875</v>
      </c>
      <c r="C181">
        <v>6624.39013671875</v>
      </c>
      <c r="D181">
        <v>6551.14990234375</v>
      </c>
      <c r="E181">
        <v>6600.35009765625</v>
      </c>
      <c r="F181">
        <v>5805340000</v>
      </c>
      <c r="G181">
        <v>6600.35009765625</v>
      </c>
    </row>
    <row r="182" spans="1:7" x14ac:dyDescent="0.25">
      <c r="A182" s="14">
        <v>45918</v>
      </c>
      <c r="B182">
        <v>6626.85009765625</v>
      </c>
      <c r="C182">
        <v>6656.7998046875</v>
      </c>
      <c r="D182">
        <v>6611.89013671875</v>
      </c>
      <c r="E182">
        <v>6631.9599609375</v>
      </c>
      <c r="F182">
        <v>5292400000</v>
      </c>
      <c r="G182">
        <v>6631.9599609375</v>
      </c>
    </row>
    <row r="183" spans="1:7" x14ac:dyDescent="0.25">
      <c r="A183" s="14">
        <v>45919</v>
      </c>
      <c r="B183">
        <v>6647.10986328125</v>
      </c>
      <c r="C183">
        <v>6671.81982421875</v>
      </c>
      <c r="D183">
        <v>6630.31005859375</v>
      </c>
      <c r="E183">
        <v>6664.35986328125</v>
      </c>
      <c r="F183">
        <v>9125960000</v>
      </c>
      <c r="G183">
        <v>6664.35986328125</v>
      </c>
    </row>
    <row r="184" spans="1:7" x14ac:dyDescent="0.25">
      <c r="A184" s="14">
        <v>45922</v>
      </c>
      <c r="B184">
        <v>6654.27978515625</v>
      </c>
      <c r="C184">
        <v>6698.8798828125</v>
      </c>
      <c r="D184">
        <v>6648.06982421875</v>
      </c>
      <c r="E184">
        <v>6693.75</v>
      </c>
      <c r="F184">
        <v>5642620000</v>
      </c>
      <c r="G184">
        <v>6693.75</v>
      </c>
    </row>
    <row r="185" spans="1:7" x14ac:dyDescent="0.25">
      <c r="A185" s="14">
        <v>45923</v>
      </c>
      <c r="B185">
        <v>6692.43994140625</v>
      </c>
      <c r="C185">
        <v>6699.52001953125</v>
      </c>
      <c r="D185">
        <v>6645.580078125</v>
      </c>
      <c r="E185">
        <v>6656.919921875</v>
      </c>
      <c r="F185">
        <v>5633620000</v>
      </c>
      <c r="G185">
        <v>6656.919921875</v>
      </c>
    </row>
    <row r="186" spans="1:7" x14ac:dyDescent="0.25">
      <c r="A186" s="14">
        <v>45924</v>
      </c>
      <c r="B186">
        <v>6669.7900390625</v>
      </c>
      <c r="C186">
        <v>6672.66015625</v>
      </c>
      <c r="D186">
        <v>6621.759765625</v>
      </c>
      <c r="E186">
        <v>6637.97021484375</v>
      </c>
      <c r="F186">
        <v>5459180000</v>
      </c>
      <c r="G186">
        <v>6637.97021484375</v>
      </c>
    </row>
    <row r="187" spans="1:7" x14ac:dyDescent="0.25">
      <c r="A187" s="14">
        <v>45925</v>
      </c>
      <c r="B187">
        <v>6608.18994140625</v>
      </c>
      <c r="C187">
        <v>6619</v>
      </c>
      <c r="D187">
        <v>6569.22021484375</v>
      </c>
      <c r="E187">
        <v>6604.72021484375</v>
      </c>
      <c r="F187">
        <v>5874670000</v>
      </c>
      <c r="G187">
        <v>6604.72021484375</v>
      </c>
    </row>
    <row r="188" spans="1:7" x14ac:dyDescent="0.25">
      <c r="A188" s="14">
        <v>45926</v>
      </c>
      <c r="B188">
        <v>6615.3798828125</v>
      </c>
      <c r="C188">
        <v>6648.97021484375</v>
      </c>
      <c r="D188">
        <v>6604.43017578125</v>
      </c>
      <c r="E188">
        <v>6643.7001953125</v>
      </c>
      <c r="F188">
        <v>5103110000</v>
      </c>
      <c r="G188">
        <v>6643.7001953125</v>
      </c>
    </row>
    <row r="189" spans="1:7" x14ac:dyDescent="0.25">
      <c r="A189" s="14">
        <v>45929</v>
      </c>
      <c r="B189">
        <v>6661.580078125</v>
      </c>
      <c r="C189">
        <v>6677.31005859375</v>
      </c>
      <c r="D189">
        <v>6644.490234375</v>
      </c>
      <c r="E189">
        <v>6661.2099609375</v>
      </c>
      <c r="F189">
        <v>5358760000</v>
      </c>
      <c r="G189">
        <v>6661.2099609375</v>
      </c>
    </row>
    <row r="190" spans="1:7" x14ac:dyDescent="0.25">
      <c r="A190" s="14">
        <v>45930</v>
      </c>
      <c r="B190">
        <v>6656.18994140625</v>
      </c>
      <c r="C190">
        <v>6691.25</v>
      </c>
      <c r="D190">
        <v>6641</v>
      </c>
      <c r="E190">
        <v>6688.4599609375</v>
      </c>
      <c r="F190">
        <v>6057210000</v>
      </c>
      <c r="G190">
        <v>6688.4599609375</v>
      </c>
    </row>
    <row r="191" spans="1:7" x14ac:dyDescent="0.25">
      <c r="A191" s="14">
        <v>45931</v>
      </c>
      <c r="B191">
        <v>6664.919921875</v>
      </c>
      <c r="C191">
        <v>6718.47998046875</v>
      </c>
      <c r="D191">
        <v>6656.2001953125</v>
      </c>
      <c r="E191">
        <v>6711.2001953125</v>
      </c>
      <c r="F191">
        <v>6037950000</v>
      </c>
      <c r="G191">
        <v>6711.2001953125</v>
      </c>
    </row>
    <row r="192" spans="1:7" x14ac:dyDescent="0.25">
      <c r="A192" s="14">
        <v>45932</v>
      </c>
      <c r="B192">
        <v>6731.31005859375</v>
      </c>
      <c r="C192">
        <v>6731.93994140625</v>
      </c>
      <c r="D192">
        <v>6693.22998046875</v>
      </c>
      <c r="E192">
        <v>6715.35009765625</v>
      </c>
      <c r="F192">
        <v>5416130000</v>
      </c>
      <c r="G192">
        <v>6715.35009765625</v>
      </c>
    </row>
    <row r="193" spans="1:7" x14ac:dyDescent="0.25">
      <c r="A193" s="14">
        <v>45933</v>
      </c>
      <c r="B193">
        <v>6722.14013671875</v>
      </c>
      <c r="C193">
        <v>6750.8701171875</v>
      </c>
      <c r="D193">
        <v>6705.669921875</v>
      </c>
      <c r="E193">
        <v>6715.7900390625</v>
      </c>
      <c r="F193">
        <v>5713110000</v>
      </c>
      <c r="G193">
        <v>6715.7900390625</v>
      </c>
    </row>
    <row r="194" spans="1:7" x14ac:dyDescent="0.25">
      <c r="A194" s="14">
        <v>45936</v>
      </c>
      <c r="B194">
        <v>6733.85986328125</v>
      </c>
      <c r="C194">
        <v>6749.52001953125</v>
      </c>
      <c r="D194">
        <v>6717.77978515625</v>
      </c>
      <c r="E194">
        <v>6740.27978515625</v>
      </c>
      <c r="F194">
        <v>5604460000</v>
      </c>
      <c r="G194">
        <v>6740.27978515625</v>
      </c>
    </row>
    <row r="195" spans="1:7" x14ac:dyDescent="0.25">
      <c r="A195" s="14">
        <v>45937</v>
      </c>
      <c r="B195">
        <v>6746.14013671875</v>
      </c>
      <c r="C195">
        <v>6754.490234375</v>
      </c>
      <c r="D195">
        <v>6699.9599609375</v>
      </c>
      <c r="E195">
        <v>6714.58984375</v>
      </c>
      <c r="F195">
        <v>5546150000</v>
      </c>
      <c r="G195">
        <v>6714.58984375</v>
      </c>
    </row>
    <row r="196" spans="1:7" x14ac:dyDescent="0.25">
      <c r="A196" s="14">
        <v>45938</v>
      </c>
      <c r="B196">
        <v>6723.8701171875</v>
      </c>
      <c r="C196">
        <v>6755.64013671875</v>
      </c>
      <c r="D196">
        <v>6718.08984375</v>
      </c>
      <c r="E196">
        <v>6753.72021484375</v>
      </c>
      <c r="F196">
        <v>5383130000</v>
      </c>
      <c r="G196">
        <v>6753.72021484375</v>
      </c>
    </row>
    <row r="197" spans="1:7" x14ac:dyDescent="0.25">
      <c r="A197" s="14">
        <v>45939</v>
      </c>
      <c r="B197">
        <v>6760.5</v>
      </c>
      <c r="C197">
        <v>6764.580078125</v>
      </c>
      <c r="D197">
        <v>6716.169921875</v>
      </c>
      <c r="E197">
        <v>6735.10986328125</v>
      </c>
      <c r="F197">
        <v>5385020000</v>
      </c>
      <c r="G197">
        <v>6735.10986328125</v>
      </c>
    </row>
    <row r="198" spans="1:7" x14ac:dyDescent="0.25">
      <c r="A198" s="14">
        <v>45940</v>
      </c>
      <c r="B198">
        <v>6740.490234375</v>
      </c>
      <c r="C198">
        <v>6762.39990234375</v>
      </c>
      <c r="D198">
        <v>6550.77978515625</v>
      </c>
      <c r="E198">
        <v>6552.509765625</v>
      </c>
      <c r="F198">
        <v>6596610000</v>
      </c>
      <c r="G198">
        <v>6552.509765625</v>
      </c>
    </row>
    <row r="199" spans="1:7" x14ac:dyDescent="0.25">
      <c r="A199" s="14">
        <v>45943</v>
      </c>
      <c r="B199">
        <v>6622.52978515625</v>
      </c>
      <c r="C199">
        <v>6668.68017578125</v>
      </c>
      <c r="D199">
        <v>6620.7099609375</v>
      </c>
      <c r="E199">
        <v>6654.72021484375</v>
      </c>
      <c r="F199">
        <v>5303960000</v>
      </c>
      <c r="G199">
        <v>6654.72021484375</v>
      </c>
    </row>
    <row r="200" spans="1:7" x14ac:dyDescent="0.25">
      <c r="A200" s="14">
        <v>45944</v>
      </c>
      <c r="B200">
        <v>6602.490234375</v>
      </c>
      <c r="C200">
        <v>6680.7001953125</v>
      </c>
      <c r="D200">
        <v>6555.06982421875</v>
      </c>
      <c r="E200">
        <v>6644.31005859375</v>
      </c>
      <c r="F200">
        <v>5666920000</v>
      </c>
      <c r="G200">
        <v>6644.31005859375</v>
      </c>
    </row>
    <row r="201" spans="1:7" x14ac:dyDescent="0.25">
      <c r="A201" s="14">
        <v>45945</v>
      </c>
      <c r="B201">
        <v>6688.27001953125</v>
      </c>
      <c r="C201">
        <v>6724.1201171875</v>
      </c>
      <c r="D201">
        <v>6612.10986328125</v>
      </c>
      <c r="E201">
        <v>6671.06005859375</v>
      </c>
      <c r="F201">
        <v>5633060000</v>
      </c>
      <c r="G201">
        <v>6671.06005859375</v>
      </c>
    </row>
    <row r="202" spans="1:7" x14ac:dyDescent="0.25">
      <c r="A202" s="14">
        <v>45946</v>
      </c>
      <c r="B202">
        <v>6689.02001953125</v>
      </c>
      <c r="C202">
        <v>6709.33984375</v>
      </c>
      <c r="D202">
        <v>6593.990234375</v>
      </c>
      <c r="E202">
        <v>6629.06982421875</v>
      </c>
      <c r="F202">
        <v>6048180000</v>
      </c>
      <c r="G202">
        <v>6629.06982421875</v>
      </c>
    </row>
    <row r="203" spans="1:7" x14ac:dyDescent="0.25">
      <c r="A203" s="14">
        <v>45947</v>
      </c>
      <c r="B203">
        <v>6613.27001953125</v>
      </c>
      <c r="C203">
        <v>6678.8798828125</v>
      </c>
      <c r="D203">
        <v>6603.759765625</v>
      </c>
      <c r="E203">
        <v>6664.009765625</v>
      </c>
      <c r="F203">
        <v>5358120000</v>
      </c>
      <c r="G203">
        <v>6664.009765625</v>
      </c>
    </row>
    <row r="204" spans="1:7" x14ac:dyDescent="0.25">
      <c r="A204" s="14">
        <v>45950</v>
      </c>
      <c r="B204">
        <v>6690.0498046875</v>
      </c>
      <c r="C204">
        <v>6744.35009765625</v>
      </c>
      <c r="D204">
        <v>6690.0498046875</v>
      </c>
      <c r="E204">
        <v>6735.1298828125</v>
      </c>
      <c r="F204">
        <v>4672170000</v>
      </c>
      <c r="G204">
        <v>6735.1298828125</v>
      </c>
    </row>
    <row r="205" spans="1:7" x14ac:dyDescent="0.25">
      <c r="A205" s="14">
        <v>45951</v>
      </c>
      <c r="B205">
        <v>6736.75</v>
      </c>
      <c r="C205">
        <v>6752.16015625</v>
      </c>
      <c r="D205">
        <v>6722.02978515625</v>
      </c>
      <c r="E205">
        <v>6735.35009765625</v>
      </c>
      <c r="F205">
        <v>5245020000</v>
      </c>
      <c r="G205">
        <v>6735.35009765625</v>
      </c>
    </row>
    <row r="206" spans="1:7" x14ac:dyDescent="0.25">
      <c r="A206" s="14">
        <v>45952</v>
      </c>
      <c r="B206">
        <v>6741.33984375</v>
      </c>
      <c r="C206">
        <v>6741.75</v>
      </c>
      <c r="D206">
        <v>6655.68994140625</v>
      </c>
      <c r="E206">
        <v>6699.39990234375</v>
      </c>
      <c r="F206">
        <v>5710010000</v>
      </c>
      <c r="G206">
        <v>6699.39990234375</v>
      </c>
    </row>
    <row r="207" spans="1:7" x14ac:dyDescent="0.25">
      <c r="A207" s="14">
        <v>45953</v>
      </c>
      <c r="B207">
        <v>6703.64990234375</v>
      </c>
      <c r="C207">
        <v>6749.52978515625</v>
      </c>
      <c r="D207">
        <v>6700.14013671875</v>
      </c>
      <c r="E207">
        <v>6738.43994140625</v>
      </c>
      <c r="F207">
        <v>5565750000</v>
      </c>
      <c r="G207">
        <v>6738.43994140625</v>
      </c>
    </row>
    <row r="208" spans="1:7" x14ac:dyDescent="0.25">
      <c r="A208" s="14">
        <v>45954</v>
      </c>
      <c r="B208">
        <v>6772.06982421875</v>
      </c>
      <c r="C208">
        <v>6807.10986328125</v>
      </c>
      <c r="D208">
        <v>6772.06982421875</v>
      </c>
      <c r="E208">
        <v>6791.68994140625</v>
      </c>
      <c r="F208">
        <v>5058220000</v>
      </c>
      <c r="G208">
        <v>6791.68994140625</v>
      </c>
    </row>
    <row r="209" spans="1:7" x14ac:dyDescent="0.25">
      <c r="A209" s="14">
        <v>45957</v>
      </c>
      <c r="B209">
        <v>6845.4599609375</v>
      </c>
      <c r="C209">
        <v>6877.27978515625</v>
      </c>
      <c r="D209">
        <v>6843.93994140625</v>
      </c>
      <c r="E209">
        <v>6875.16015625</v>
      </c>
      <c r="F209">
        <v>5290650000</v>
      </c>
      <c r="G209">
        <v>6875.16015625</v>
      </c>
    </row>
    <row r="210" spans="1:7" x14ac:dyDescent="0.25">
      <c r="A210" s="14">
        <v>45958</v>
      </c>
      <c r="B210">
        <v>6897.740234375</v>
      </c>
      <c r="C210">
        <v>6911.2998046875</v>
      </c>
      <c r="D210">
        <v>6870.72998046875</v>
      </c>
      <c r="E210">
        <v>6890.89013671875</v>
      </c>
      <c r="F210">
        <v>5695930000</v>
      </c>
      <c r="G210">
        <v>6890.89013671875</v>
      </c>
    </row>
    <row r="211" spans="1:7" x14ac:dyDescent="0.25">
      <c r="A211" s="14">
        <v>45959</v>
      </c>
      <c r="B211">
        <v>6910.9501953125</v>
      </c>
      <c r="C211">
        <v>6920.33984375</v>
      </c>
      <c r="D211">
        <v>6851.91015625</v>
      </c>
      <c r="E211">
        <v>6890.58984375</v>
      </c>
      <c r="F211">
        <v>6280130000</v>
      </c>
      <c r="G211">
        <v>6890.58984375</v>
      </c>
    </row>
    <row r="212" spans="1:7" x14ac:dyDescent="0.25">
      <c r="A212" s="14">
        <v>45960</v>
      </c>
      <c r="B212">
        <v>6860.5</v>
      </c>
      <c r="C212">
        <v>6880.75</v>
      </c>
      <c r="D212">
        <v>6820.68994140625</v>
      </c>
      <c r="E212">
        <v>6822.33984375</v>
      </c>
      <c r="F212">
        <v>6052700000</v>
      </c>
      <c r="G212">
        <v>6822.33984375</v>
      </c>
    </row>
    <row r="213" spans="1:7" x14ac:dyDescent="0.25">
      <c r="A213" s="14">
        <v>45961</v>
      </c>
      <c r="B213">
        <v>6879.169921875</v>
      </c>
      <c r="C213">
        <v>6879.169921875</v>
      </c>
      <c r="D213">
        <v>6814.259765625</v>
      </c>
      <c r="E213">
        <v>6840.2001953125</v>
      </c>
      <c r="F213">
        <v>6398280000</v>
      </c>
      <c r="G213">
        <v>6840.2001953125</v>
      </c>
    </row>
    <row r="214" spans="1:7" x14ac:dyDescent="0.25">
      <c r="A214" s="14">
        <v>45964</v>
      </c>
      <c r="B214">
        <v>6882.31982421875</v>
      </c>
      <c r="C214">
        <v>6882.31982421875</v>
      </c>
      <c r="D214">
        <v>6820.6201171875</v>
      </c>
      <c r="E214">
        <v>6851.97021484375</v>
      </c>
      <c r="F214">
        <v>6065720000</v>
      </c>
      <c r="G214">
        <v>6851.97021484375</v>
      </c>
    </row>
    <row r="215" spans="1:7" x14ac:dyDescent="0.25">
      <c r="A215" s="14">
        <v>45965</v>
      </c>
      <c r="B215">
        <v>6788.52001953125</v>
      </c>
      <c r="C215">
        <v>6820.2099609375</v>
      </c>
      <c r="D215">
        <v>6766.7099609375</v>
      </c>
      <c r="E215">
        <v>6771.5498046875</v>
      </c>
      <c r="F215">
        <v>5739510000</v>
      </c>
      <c r="G215">
        <v>6771.5498046875</v>
      </c>
    </row>
    <row r="216" spans="1:7" x14ac:dyDescent="0.25">
      <c r="A216" s="14">
        <v>45966</v>
      </c>
      <c r="B216">
        <v>6769.77001953125</v>
      </c>
      <c r="C216">
        <v>6829.77978515625</v>
      </c>
      <c r="D216">
        <v>6763.10986328125</v>
      </c>
      <c r="E216">
        <v>6796.2900390625</v>
      </c>
      <c r="F216">
        <v>5939600000</v>
      </c>
      <c r="G216">
        <v>6796.2900390625</v>
      </c>
    </row>
    <row r="217" spans="1:7" x14ac:dyDescent="0.25">
      <c r="A217" s="14">
        <v>45967</v>
      </c>
      <c r="B217">
        <v>6787.58984375</v>
      </c>
      <c r="C217">
        <v>6796.68017578125</v>
      </c>
      <c r="D217">
        <v>6707.509765625</v>
      </c>
      <c r="E217">
        <v>6720.31982421875</v>
      </c>
      <c r="F217">
        <v>6051900000</v>
      </c>
      <c r="G217">
        <v>6720.31982421875</v>
      </c>
    </row>
    <row r="218" spans="1:7" x14ac:dyDescent="0.25">
      <c r="A218" s="14">
        <v>45968</v>
      </c>
      <c r="B218">
        <v>6696.18017578125</v>
      </c>
      <c r="C218">
        <v>6730.10986328125</v>
      </c>
      <c r="D218">
        <v>6631.43994140625</v>
      </c>
      <c r="E218">
        <v>6728.7998046875</v>
      </c>
      <c r="F218">
        <v>5926070000</v>
      </c>
      <c r="G218">
        <v>6728.7998046875</v>
      </c>
    </row>
    <row r="219" spans="1:7" x14ac:dyDescent="0.25">
      <c r="A219" s="14">
        <v>45971</v>
      </c>
      <c r="B219">
        <v>6785.35986328125</v>
      </c>
      <c r="C219">
        <v>6841.31982421875</v>
      </c>
      <c r="D219">
        <v>6770.56005859375</v>
      </c>
      <c r="E219">
        <v>6832.43017578125</v>
      </c>
      <c r="F219">
        <v>5366050000</v>
      </c>
      <c r="G219">
        <v>6832.43017578125</v>
      </c>
    </row>
    <row r="220" spans="1:7" x14ac:dyDescent="0.25">
      <c r="A220" s="14">
        <v>45972</v>
      </c>
      <c r="B220">
        <v>6815.64013671875</v>
      </c>
      <c r="C220">
        <v>6855.1298828125</v>
      </c>
      <c r="D220">
        <v>6806.8701171875</v>
      </c>
      <c r="E220">
        <v>6846.60986328125</v>
      </c>
      <c r="F220">
        <v>4983490000</v>
      </c>
      <c r="G220">
        <v>6846.60986328125</v>
      </c>
    </row>
    <row r="221" spans="1:7" x14ac:dyDescent="0.25">
      <c r="A221" s="14">
        <v>45973</v>
      </c>
      <c r="B221">
        <v>6867.77001953125</v>
      </c>
      <c r="C221">
        <v>6869.91015625</v>
      </c>
      <c r="D221">
        <v>6829.6201171875</v>
      </c>
      <c r="E221">
        <v>6850.919921875</v>
      </c>
      <c r="F221">
        <v>5293610000</v>
      </c>
      <c r="G221">
        <v>6850.919921875</v>
      </c>
    </row>
    <row r="222" spans="1:7" x14ac:dyDescent="0.25">
      <c r="A222" s="14">
        <v>45974</v>
      </c>
      <c r="B222">
        <v>6826.47021484375</v>
      </c>
      <c r="C222">
        <v>6828.0498046875</v>
      </c>
      <c r="D222">
        <v>6724.72021484375</v>
      </c>
      <c r="E222">
        <v>6737.490234375</v>
      </c>
      <c r="F222">
        <v>5473720000</v>
      </c>
      <c r="G222">
        <v>6737.490234375</v>
      </c>
    </row>
    <row r="223" spans="1:7" x14ac:dyDescent="0.25">
      <c r="A223" s="14">
        <v>45975</v>
      </c>
      <c r="B223">
        <v>6672.14013671875</v>
      </c>
      <c r="C223">
        <v>6774.31005859375</v>
      </c>
      <c r="D223">
        <v>6646.8701171875</v>
      </c>
      <c r="E223">
        <v>6734.10986328125</v>
      </c>
      <c r="F223">
        <v>5042660000</v>
      </c>
      <c r="G223">
        <v>6734.10986328125</v>
      </c>
    </row>
    <row r="224" spans="1:7" x14ac:dyDescent="0.25">
      <c r="A224" s="14">
        <v>45978</v>
      </c>
      <c r="B224">
        <v>6713.60986328125</v>
      </c>
      <c r="C224">
        <v>6754.5</v>
      </c>
      <c r="D224">
        <v>6638.89990234375</v>
      </c>
      <c r="E224">
        <v>6672.41015625</v>
      </c>
      <c r="F224">
        <v>5204220000</v>
      </c>
      <c r="G224">
        <v>6672.41015625</v>
      </c>
    </row>
    <row r="225" spans="1:7" x14ac:dyDescent="0.25">
      <c r="A225" s="14">
        <v>45979</v>
      </c>
      <c r="B225">
        <v>6641.18994140625</v>
      </c>
      <c r="C225">
        <v>6666.6298828125</v>
      </c>
      <c r="D225">
        <v>6574.31982421875</v>
      </c>
      <c r="E225">
        <v>6617.31982421875</v>
      </c>
      <c r="F225">
        <v>5159390000</v>
      </c>
      <c r="G225">
        <v>6617.31982421875</v>
      </c>
    </row>
    <row r="226" spans="1:7" x14ac:dyDescent="0.25">
      <c r="A226" s="14">
        <v>45980</v>
      </c>
      <c r="B226">
        <v>6625.83984375</v>
      </c>
      <c r="C226">
        <v>6689.75</v>
      </c>
      <c r="D226">
        <v>6603.5</v>
      </c>
      <c r="E226">
        <v>6642.16015625</v>
      </c>
      <c r="F226">
        <v>5021610000</v>
      </c>
      <c r="G226">
        <v>6642.16015625</v>
      </c>
    </row>
    <row r="227" spans="1:7" x14ac:dyDescent="0.25">
      <c r="A227" s="14">
        <v>45981</v>
      </c>
      <c r="B227">
        <v>6737.93017578125</v>
      </c>
      <c r="C227">
        <v>6770.35009765625</v>
      </c>
      <c r="D227">
        <v>6534.0498046875</v>
      </c>
      <c r="E227">
        <v>6538.759765625</v>
      </c>
      <c r="F227">
        <v>5596080000</v>
      </c>
      <c r="G227">
        <v>6538.759765625</v>
      </c>
    </row>
    <row r="228" spans="1:7" x14ac:dyDescent="0.25">
      <c r="A228" s="14">
        <v>45982</v>
      </c>
      <c r="B228">
        <v>6555.77001953125</v>
      </c>
      <c r="C228">
        <v>6660.0498046875</v>
      </c>
      <c r="D228">
        <v>6521.919921875</v>
      </c>
      <c r="E228">
        <v>6602.990234375</v>
      </c>
      <c r="F228">
        <v>5929930000</v>
      </c>
      <c r="G228">
        <v>6602.990234375</v>
      </c>
    </row>
    <row r="229" spans="1:7" x14ac:dyDescent="0.25">
      <c r="A229" s="14">
        <v>45985</v>
      </c>
      <c r="B229">
        <v>6636.5400390625</v>
      </c>
      <c r="C229">
        <v>6715.75</v>
      </c>
      <c r="D229">
        <v>6630.7001953125</v>
      </c>
      <c r="E229">
        <v>6705.1201171875</v>
      </c>
      <c r="F229">
        <v>6039740000</v>
      </c>
      <c r="G229">
        <v>6705.1201171875</v>
      </c>
    </row>
    <row r="230" spans="1:7" x14ac:dyDescent="0.25">
      <c r="A230" s="14">
        <v>45986</v>
      </c>
      <c r="B230">
        <v>6697.02978515625</v>
      </c>
      <c r="C230">
        <v>6776.39990234375</v>
      </c>
      <c r="D230">
        <v>6659.97998046875</v>
      </c>
      <c r="E230">
        <v>6765.8798828125</v>
      </c>
      <c r="F230">
        <v>5003330000</v>
      </c>
      <c r="G230">
        <v>6765.8798828125</v>
      </c>
    </row>
    <row r="231" spans="1:7" x14ac:dyDescent="0.25">
      <c r="A231" s="14">
        <v>45987</v>
      </c>
      <c r="B231">
        <v>6793.5498046875</v>
      </c>
      <c r="C231">
        <v>6831.43994140625</v>
      </c>
      <c r="D231">
        <v>6783.8701171875</v>
      </c>
      <c r="E231">
        <v>6812.60986328125</v>
      </c>
      <c r="F231">
        <v>4485000000</v>
      </c>
      <c r="G231">
        <v>6812.60986328125</v>
      </c>
    </row>
    <row r="232" spans="1:7" x14ac:dyDescent="0.25">
      <c r="A232" s="14">
        <v>45989</v>
      </c>
      <c r="B232">
        <v>6822.52001953125</v>
      </c>
      <c r="C232">
        <v>6850.85986328125</v>
      </c>
      <c r="D232">
        <v>6819.75</v>
      </c>
      <c r="E232">
        <v>6849.08984375</v>
      </c>
      <c r="F232">
        <v>2558540000</v>
      </c>
      <c r="G232">
        <v>6849.08984375</v>
      </c>
    </row>
    <row r="233" spans="1:7" x14ac:dyDescent="0.25">
      <c r="A233" s="14">
        <v>45992</v>
      </c>
      <c r="B233">
        <v>6812.2998046875</v>
      </c>
      <c r="C233">
        <v>6843.64990234375</v>
      </c>
      <c r="D233">
        <v>6799.93994140625</v>
      </c>
      <c r="E233">
        <v>6812.6298828125</v>
      </c>
      <c r="F233">
        <v>4549370000</v>
      </c>
      <c r="G233">
        <v>6812.6298828125</v>
      </c>
    </row>
    <row r="234" spans="1:7" x14ac:dyDescent="0.25">
      <c r="A234" s="14">
        <v>45993</v>
      </c>
      <c r="B234">
        <v>6830.9599609375</v>
      </c>
      <c r="C234">
        <v>6851.5498046875</v>
      </c>
      <c r="D234">
        <v>6806.7099609375</v>
      </c>
      <c r="E234">
        <v>6829.3701171875</v>
      </c>
      <c r="F234">
        <v>4582290000</v>
      </c>
      <c r="G234">
        <v>6829.3701171875</v>
      </c>
    </row>
    <row r="235" spans="1:7" x14ac:dyDescent="0.25">
      <c r="A235" s="14">
        <v>45994</v>
      </c>
      <c r="B235">
        <v>6815.2900390625</v>
      </c>
      <c r="C235">
        <v>6862.419921875</v>
      </c>
      <c r="D235">
        <v>6810.43017578125</v>
      </c>
      <c r="E235">
        <v>6849.72021484375</v>
      </c>
      <c r="F235">
        <v>4736780000</v>
      </c>
      <c r="G235">
        <v>6849.72021484375</v>
      </c>
    </row>
    <row r="236" spans="1:7" x14ac:dyDescent="0.25">
      <c r="A236" s="14">
        <v>45995</v>
      </c>
      <c r="B236">
        <v>6866.47021484375</v>
      </c>
      <c r="C236">
        <v>6866.47021484375</v>
      </c>
      <c r="D236">
        <v>6827.1201171875</v>
      </c>
      <c r="E236">
        <v>6857.1201171875</v>
      </c>
      <c r="F236">
        <v>4872440000</v>
      </c>
      <c r="G236">
        <v>6857.1201171875</v>
      </c>
    </row>
    <row r="237" spans="1:7" x14ac:dyDescent="0.25">
      <c r="A237" s="14">
        <v>45996</v>
      </c>
      <c r="B237">
        <v>6866.31982421875</v>
      </c>
      <c r="C237">
        <v>6895.77978515625</v>
      </c>
      <c r="D237">
        <v>6858.2900390625</v>
      </c>
      <c r="E237">
        <v>6870.39990234375</v>
      </c>
      <c r="F237">
        <v>4944560000</v>
      </c>
      <c r="G237">
        <v>6870.39990234375</v>
      </c>
    </row>
    <row r="238" spans="1:7" x14ac:dyDescent="0.25">
      <c r="A238" s="14">
        <v>45999</v>
      </c>
      <c r="B238">
        <v>6875.2001953125</v>
      </c>
      <c r="C238">
        <v>6878.27001953125</v>
      </c>
      <c r="D238">
        <v>6827.18994140625</v>
      </c>
      <c r="E238">
        <v>6846.509765625</v>
      </c>
      <c r="F238">
        <v>4757130000</v>
      </c>
      <c r="G238">
        <v>6846.509765625</v>
      </c>
    </row>
    <row r="239" spans="1:7" x14ac:dyDescent="0.25">
      <c r="A239" s="14">
        <v>46000</v>
      </c>
      <c r="B239">
        <v>6840.60986328125</v>
      </c>
      <c r="C239">
        <v>6864.919921875</v>
      </c>
      <c r="D239">
        <v>6837.43017578125</v>
      </c>
      <c r="E239">
        <v>6840.509765625</v>
      </c>
      <c r="F239">
        <v>4508050000</v>
      </c>
      <c r="G239">
        <v>6840.509765625</v>
      </c>
    </row>
    <row r="240" spans="1:7" x14ac:dyDescent="0.25">
      <c r="A240" s="14">
        <v>46001</v>
      </c>
      <c r="B240">
        <v>6833.490234375</v>
      </c>
      <c r="C240">
        <v>6900.669921875</v>
      </c>
      <c r="D240">
        <v>6824.68994140625</v>
      </c>
      <c r="E240">
        <v>6886.68017578125</v>
      </c>
      <c r="F240">
        <v>5526570000</v>
      </c>
      <c r="G240">
        <v>6886.68017578125</v>
      </c>
    </row>
    <row r="241" spans="1:7" x14ac:dyDescent="0.25">
      <c r="A241" s="14">
        <v>46002</v>
      </c>
      <c r="B241">
        <v>6861.2998046875</v>
      </c>
      <c r="C241">
        <v>6903.4599609375</v>
      </c>
      <c r="D241">
        <v>6833.4501953125</v>
      </c>
      <c r="E241">
        <v>6901</v>
      </c>
      <c r="F241">
        <v>5021060000</v>
      </c>
      <c r="G241">
        <v>6901</v>
      </c>
    </row>
    <row r="242" spans="1:7" x14ac:dyDescent="0.25">
      <c r="A242" s="14">
        <v>46003</v>
      </c>
      <c r="B242">
        <v>6886.85009765625</v>
      </c>
      <c r="C242">
        <v>6899.85009765625</v>
      </c>
      <c r="D242">
        <v>6801.7900390625</v>
      </c>
      <c r="E242">
        <v>6827.41015625</v>
      </c>
      <c r="F242">
        <v>4910160000</v>
      </c>
      <c r="G242">
        <v>6827.41015625</v>
      </c>
    </row>
    <row r="243" spans="1:7" x14ac:dyDescent="0.25">
      <c r="A243" s="14">
        <v>46006</v>
      </c>
      <c r="B243">
        <v>6860.18994140625</v>
      </c>
      <c r="C243">
        <v>6861.58984375</v>
      </c>
      <c r="D243">
        <v>6801.490234375</v>
      </c>
      <c r="E243">
        <v>6816.509765625</v>
      </c>
      <c r="F243">
        <v>4975600000</v>
      </c>
      <c r="G243">
        <v>6816.509765625</v>
      </c>
    </row>
    <row r="244" spans="1:7" x14ac:dyDescent="0.25">
      <c r="A244" s="14">
        <v>46007</v>
      </c>
      <c r="B244">
        <v>6800.1201171875</v>
      </c>
      <c r="C244">
        <v>6819.27001953125</v>
      </c>
      <c r="D244">
        <v>6759.740234375</v>
      </c>
      <c r="E244">
        <v>6800.259765625</v>
      </c>
      <c r="F244">
        <v>4983180000</v>
      </c>
      <c r="G244">
        <v>6800.259765625</v>
      </c>
    </row>
    <row r="245" spans="1:7" x14ac:dyDescent="0.25">
      <c r="A245" s="14">
        <v>46008</v>
      </c>
      <c r="B245">
        <v>6802.8798828125</v>
      </c>
      <c r="C245">
        <v>6812.259765625</v>
      </c>
      <c r="D245">
        <v>6720.43017578125</v>
      </c>
      <c r="E245">
        <v>6721.43017578125</v>
      </c>
      <c r="F245">
        <v>5122120000</v>
      </c>
      <c r="G245">
        <v>6721.43017578125</v>
      </c>
    </row>
    <row r="246" spans="1:7" x14ac:dyDescent="0.25">
      <c r="A246" s="14">
        <v>46009</v>
      </c>
      <c r="B246">
        <v>6778.06005859375</v>
      </c>
      <c r="C246">
        <v>6816.1298828125</v>
      </c>
      <c r="D246">
        <v>6758.5</v>
      </c>
      <c r="E246">
        <v>6774.759765625</v>
      </c>
      <c r="F246">
        <v>5101190000</v>
      </c>
      <c r="G246">
        <v>6774.759765625</v>
      </c>
    </row>
    <row r="247" spans="1:7" x14ac:dyDescent="0.25">
      <c r="A247" s="14">
        <v>46010</v>
      </c>
      <c r="B247">
        <v>6792.6201171875</v>
      </c>
      <c r="C247">
        <v>6840.02001953125</v>
      </c>
      <c r="D247">
        <v>6792.6201171875</v>
      </c>
      <c r="E247">
        <v>6834.5</v>
      </c>
      <c r="F247">
        <v>8554470000</v>
      </c>
      <c r="G247">
        <v>6834.5</v>
      </c>
    </row>
    <row r="248" spans="1:7" x14ac:dyDescent="0.25">
      <c r="A248" s="14">
        <v>46013</v>
      </c>
      <c r="B248">
        <v>6865.2099609375</v>
      </c>
      <c r="C248">
        <v>6882.02978515625</v>
      </c>
      <c r="D248">
        <v>6855.740234375</v>
      </c>
      <c r="E248">
        <v>6878.490234375</v>
      </c>
      <c r="F248">
        <v>4465030000</v>
      </c>
      <c r="G248">
        <v>6878.490234375</v>
      </c>
    </row>
    <row r="249" spans="1:7" x14ac:dyDescent="0.25">
      <c r="A249" s="14">
        <v>46014</v>
      </c>
      <c r="B249">
        <v>6872.41015625</v>
      </c>
      <c r="C249">
        <v>6910.8798828125</v>
      </c>
      <c r="D249">
        <v>6868.81005859375</v>
      </c>
      <c r="E249">
        <v>6909.7900390625</v>
      </c>
      <c r="F249">
        <v>3820560000</v>
      </c>
      <c r="G249">
        <v>6909.7900390625</v>
      </c>
    </row>
    <row r="250" spans="1:7" x14ac:dyDescent="0.25">
      <c r="A250" s="14">
        <v>46015</v>
      </c>
      <c r="B250">
        <v>6904.91015625</v>
      </c>
      <c r="C250">
        <v>6937.31982421875</v>
      </c>
      <c r="D250">
        <v>6904.91015625</v>
      </c>
      <c r="E250">
        <v>6932.0498046875</v>
      </c>
      <c r="F250">
        <v>1798270000</v>
      </c>
      <c r="G250">
        <v>6932.0498046875</v>
      </c>
    </row>
    <row r="251" spans="1:7" x14ac:dyDescent="0.25">
      <c r="A251" s="14">
        <v>46017</v>
      </c>
      <c r="B251">
        <v>6936.02001953125</v>
      </c>
      <c r="C251">
        <v>6945.77001953125</v>
      </c>
      <c r="D251">
        <v>6921.60009765625</v>
      </c>
      <c r="E251">
        <v>6929.93994140625</v>
      </c>
      <c r="F251">
        <v>2586550000</v>
      </c>
      <c r="G251">
        <v>6929.93994140625</v>
      </c>
    </row>
    <row r="252" spans="1:7" x14ac:dyDescent="0.25">
      <c r="A252" s="14">
        <v>46020</v>
      </c>
      <c r="B252">
        <v>6903.60009765625</v>
      </c>
      <c r="C252">
        <v>6920.2099609375</v>
      </c>
      <c r="D252">
        <v>6888.759765625</v>
      </c>
      <c r="E252">
        <v>6905.740234375</v>
      </c>
      <c r="F252">
        <v>3541750000</v>
      </c>
      <c r="G252">
        <v>6905.740234375</v>
      </c>
    </row>
    <row r="253" spans="1:7" x14ac:dyDescent="0.25">
      <c r="A253" s="14">
        <v>46021</v>
      </c>
      <c r="B253">
        <v>6900.43994140625</v>
      </c>
      <c r="C253">
        <v>6913.25</v>
      </c>
      <c r="D253">
        <v>6893.47021484375</v>
      </c>
      <c r="E253">
        <v>6896.240234375</v>
      </c>
      <c r="F253">
        <v>3309930000</v>
      </c>
      <c r="G253">
        <v>6896.240234375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02CDF-94F6-48AF-9C04-815A1E54350D}">
  <sheetPr codeName="Sheet2"/>
  <dimension ref="A1:G13"/>
  <sheetViews>
    <sheetView workbookViewId="0">
      <selection activeCell="H16" sqref="H16"/>
    </sheetView>
  </sheetViews>
  <sheetFormatPr defaultRowHeight="15" x14ac:dyDescent="0.25"/>
  <cols>
    <col min="1" max="7" width="19.85546875" customWidth="1"/>
  </cols>
  <sheetData>
    <row r="1" spans="1:7" ht="18.75" customHeight="1" x14ac:dyDescent="0.25">
      <c r="A1" s="4" t="s">
        <v>31</v>
      </c>
      <c r="B1" s="5" t="s">
        <v>19</v>
      </c>
      <c r="C1" s="5" t="s">
        <v>20</v>
      </c>
      <c r="D1" s="5" t="s">
        <v>21</v>
      </c>
      <c r="E1" s="5" t="s">
        <v>22</v>
      </c>
      <c r="F1" s="5" t="s">
        <v>23</v>
      </c>
      <c r="G1" s="5" t="s">
        <v>24</v>
      </c>
    </row>
    <row r="2" spans="1:7" ht="18.75" customHeight="1" x14ac:dyDescent="0.25">
      <c r="A2" s="4" t="s">
        <v>16</v>
      </c>
      <c r="B2" s="6">
        <v>3.5000000000000003E-2</v>
      </c>
      <c r="C2" s="6">
        <v>3.5000000000000003E-2</v>
      </c>
      <c r="D2" s="6">
        <v>3.5000000000000003E-2</v>
      </c>
      <c r="E2" s="6">
        <v>3.5000000000000003E-2</v>
      </c>
      <c r="F2" s="6">
        <v>0.04</v>
      </c>
      <c r="G2" s="6">
        <v>0.04</v>
      </c>
    </row>
    <row r="3" spans="1:7" ht="18.75" customHeight="1" x14ac:dyDescent="0.25">
      <c r="A3" s="4" t="s">
        <v>17</v>
      </c>
      <c r="B3" s="6">
        <v>1.4999999999999999E-2</v>
      </c>
      <c r="C3" s="6">
        <v>1.4999999999999999E-2</v>
      </c>
      <c r="D3" s="6">
        <v>1.4999999999999999E-2</v>
      </c>
      <c r="E3" s="6">
        <v>1.4999999999999999E-2</v>
      </c>
      <c r="F3" s="6">
        <v>1.4999999999999999E-2</v>
      </c>
      <c r="G3" s="6">
        <v>1.4999999999999999E-2</v>
      </c>
    </row>
    <row r="4" spans="1:7" ht="18.75" customHeight="1" x14ac:dyDescent="0.25">
      <c r="A4" s="4" t="s">
        <v>18</v>
      </c>
      <c r="B4" s="6">
        <v>2.6499999999999999E-2</v>
      </c>
      <c r="C4" s="6">
        <v>2.6499999999999999E-2</v>
      </c>
      <c r="D4" s="6">
        <v>2.6499999999999999E-2</v>
      </c>
      <c r="E4" s="6">
        <v>2.6499999999999999E-2</v>
      </c>
      <c r="F4" s="6">
        <v>3.15E-2</v>
      </c>
      <c r="G4" s="6">
        <v>3.15E-2</v>
      </c>
    </row>
    <row r="5" spans="1:7" x14ac:dyDescent="0.25">
      <c r="A5" s="9" t="s">
        <v>55</v>
      </c>
    </row>
    <row r="7" spans="1:7" x14ac:dyDescent="0.25">
      <c r="A7" s="4" t="s">
        <v>25</v>
      </c>
      <c r="B7" s="2">
        <v>25000</v>
      </c>
    </row>
    <row r="8" spans="1:7" x14ac:dyDescent="0.25">
      <c r="A8" s="4" t="s">
        <v>27</v>
      </c>
      <c r="B8" t="str">
        <f>IF(B7&lt;10000,$B$1,IF(B7&lt;25000,$C$1,IF(B7&lt;50000,$D$1,IF(B7&lt;100000,$E$1,IF(B7&lt;250000,$F$1,$G$1)))))</f>
        <v>$25K - $49999.99</v>
      </c>
    </row>
    <row r="9" spans="1:7" x14ac:dyDescent="0.25">
      <c r="A9" s="4" t="s">
        <v>26</v>
      </c>
      <c r="B9" s="3" t="s">
        <v>16</v>
      </c>
    </row>
    <row r="10" spans="1:7" x14ac:dyDescent="0.25">
      <c r="A10" s="4" t="s">
        <v>29</v>
      </c>
      <c r="B10" cm="1">
        <f t="array" ref="B10">_xlfn.XLOOKUP($B$8, $B$1:$G$1, _xlfn.XLOOKUP($B$9, $A$2:$A$4, $B$2:$G$4))</f>
        <v>3.5000000000000003E-2</v>
      </c>
    </row>
    <row r="11" spans="1:7" x14ac:dyDescent="0.25">
      <c r="A11" s="4" t="s">
        <v>28</v>
      </c>
      <c r="B11">
        <f>LEFT(B9, 1)*365/12</f>
        <v>91.25</v>
      </c>
    </row>
    <row r="12" spans="1:7" x14ac:dyDescent="0.25">
      <c r="A12" s="4" t="s">
        <v>32</v>
      </c>
      <c r="B12" s="7">
        <f>B7*(1+B10/365)^B11</f>
        <v>25219.699249199988</v>
      </c>
    </row>
    <row r="13" spans="1:7" x14ac:dyDescent="0.25">
      <c r="A13" s="4" t="s">
        <v>30</v>
      </c>
      <c r="B13" s="8">
        <f>B12/B7 -1</f>
        <v>8.787969967999576E-3</v>
      </c>
    </row>
  </sheetData>
  <phoneticPr fontId="2" type="noConversion"/>
  <dataValidations count="2">
    <dataValidation type="decimal" operator="greaterThan" allowBlank="1" showInputMessage="1" showErrorMessage="1" sqref="B7" xr:uid="{3D1FDDA5-47A8-4471-A5DE-95929329D64A}">
      <formula1>0</formula1>
    </dataValidation>
    <dataValidation type="list" allowBlank="1" showInputMessage="1" showErrorMessage="1" sqref="B9" xr:uid="{51F26199-2805-494D-BD3C-CBFBD040716C}">
      <formula1>$A$2:$A$4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2:P8"/>
  <sheetViews>
    <sheetView workbookViewId="0"/>
  </sheetViews>
  <sheetFormatPr defaultRowHeight="15" x14ac:dyDescent="0.25"/>
  <cols>
    <col min="2" max="3" width="16.85546875" customWidth="1"/>
    <col min="6" max="10" width="14.28515625" customWidth="1"/>
    <col min="13" max="13" width="11.28515625" bestFit="1" customWidth="1"/>
    <col min="14" max="14" width="15.42578125" bestFit="1" customWidth="1"/>
    <col min="15" max="15" width="7.140625" bestFit="1" customWidth="1"/>
    <col min="16" max="16" width="11.28515625" bestFit="1" customWidth="1"/>
  </cols>
  <sheetData>
    <row r="2" spans="2:16" x14ac:dyDescent="0.25">
      <c r="B2" s="15" t="s">
        <v>3</v>
      </c>
      <c r="C2" s="15"/>
      <c r="F2" t="s">
        <v>6</v>
      </c>
      <c r="G2" t="s">
        <v>7</v>
      </c>
      <c r="H2" t="s">
        <v>0</v>
      </c>
      <c r="I2" t="s">
        <v>1</v>
      </c>
      <c r="J2" t="s">
        <v>2</v>
      </c>
      <c r="M2" s="11" t="s">
        <v>44</v>
      </c>
      <c r="N2" s="11" t="s">
        <v>43</v>
      </c>
    </row>
    <row r="3" spans="2:16" x14ac:dyDescent="0.25">
      <c r="B3" s="1" t="s">
        <v>6</v>
      </c>
      <c r="C3" s="1" t="s">
        <v>53</v>
      </c>
      <c r="F3" s="1" t="s">
        <v>53</v>
      </c>
      <c r="G3" s="1" t="s">
        <v>54</v>
      </c>
      <c r="H3" s="1">
        <v>15</v>
      </c>
      <c r="I3" s="1" t="s">
        <v>4</v>
      </c>
      <c r="J3" s="1" t="s">
        <v>5</v>
      </c>
      <c r="K3" s="1"/>
      <c r="L3" s="1"/>
      <c r="M3" s="11" t="s">
        <v>1</v>
      </c>
      <c r="N3" t="s">
        <v>13</v>
      </c>
      <c r="O3" t="s">
        <v>5</v>
      </c>
      <c r="P3" t="s">
        <v>42</v>
      </c>
    </row>
    <row r="4" spans="2:16" x14ac:dyDescent="0.25">
      <c r="B4" s="1" t="s">
        <v>7</v>
      </c>
      <c r="C4" s="1" t="s">
        <v>54</v>
      </c>
      <c r="F4" s="1" t="s">
        <v>52</v>
      </c>
      <c r="G4" s="1" t="s">
        <v>51</v>
      </c>
      <c r="H4" s="1">
        <v>17</v>
      </c>
      <c r="I4" s="1" t="s">
        <v>4</v>
      </c>
      <c r="J4" s="1" t="s">
        <v>5</v>
      </c>
      <c r="K4" s="1"/>
      <c r="L4" s="1"/>
      <c r="M4" s="12" t="s">
        <v>12</v>
      </c>
      <c r="N4" s="13">
        <v>0.16666666666666666</v>
      </c>
      <c r="O4" s="13">
        <v>0.16666666666666666</v>
      </c>
      <c r="P4" s="13">
        <v>0.33333333333333331</v>
      </c>
    </row>
    <row r="5" spans="2:16" x14ac:dyDescent="0.25">
      <c r="B5" s="1" t="s">
        <v>0</v>
      </c>
      <c r="C5" s="1">
        <v>15</v>
      </c>
      <c r="F5" s="1" t="s">
        <v>49</v>
      </c>
      <c r="G5" s="1" t="s">
        <v>50</v>
      </c>
      <c r="H5" s="1">
        <v>29</v>
      </c>
      <c r="I5" s="1" t="s">
        <v>4</v>
      </c>
      <c r="J5" s="1" t="s">
        <v>5</v>
      </c>
      <c r="K5" s="1"/>
      <c r="L5" s="1"/>
      <c r="M5" s="12" t="s">
        <v>4</v>
      </c>
      <c r="N5" s="13">
        <v>0</v>
      </c>
      <c r="O5" s="13">
        <v>0.66666666666666663</v>
      </c>
      <c r="P5" s="13">
        <v>0.66666666666666663</v>
      </c>
    </row>
    <row r="6" spans="2:16" x14ac:dyDescent="0.25">
      <c r="B6" s="1" t="s">
        <v>1</v>
      </c>
      <c r="C6" s="1" t="s">
        <v>4</v>
      </c>
      <c r="F6" s="1" t="s">
        <v>15</v>
      </c>
      <c r="G6" s="1" t="s">
        <v>14</v>
      </c>
      <c r="H6" s="1">
        <v>25</v>
      </c>
      <c r="I6" s="1" t="s">
        <v>12</v>
      </c>
      <c r="J6" s="1" t="s">
        <v>5</v>
      </c>
      <c r="K6" s="1"/>
      <c r="L6" s="1"/>
      <c r="M6" s="12" t="s">
        <v>42</v>
      </c>
      <c r="N6" s="13">
        <v>0.16666666666666666</v>
      </c>
      <c r="O6" s="13">
        <v>0.83333333333333337</v>
      </c>
      <c r="P6" s="13">
        <v>1</v>
      </c>
    </row>
    <row r="7" spans="2:16" x14ac:dyDescent="0.25">
      <c r="B7" s="1" t="s">
        <v>2</v>
      </c>
      <c r="C7" s="1" t="s">
        <v>5</v>
      </c>
      <c r="F7" s="1" t="s">
        <v>10</v>
      </c>
      <c r="G7" s="1" t="s">
        <v>11</v>
      </c>
      <c r="H7" s="1">
        <v>46</v>
      </c>
      <c r="I7" s="1" t="s">
        <v>12</v>
      </c>
      <c r="J7" s="1" t="s">
        <v>13</v>
      </c>
    </row>
    <row r="8" spans="2:16" x14ac:dyDescent="0.25">
      <c r="F8" s="1" t="s">
        <v>8</v>
      </c>
      <c r="G8" s="1" t="s">
        <v>9</v>
      </c>
      <c r="H8" s="1">
        <v>32</v>
      </c>
      <c r="I8" s="1" t="s">
        <v>4</v>
      </c>
      <c r="J8" s="1" t="s">
        <v>5</v>
      </c>
    </row>
  </sheetData>
  <mergeCells count="1">
    <mergeCell ref="B2:C2"/>
  </mergeCells>
  <phoneticPr fontId="2" type="noConversion"/>
  <dataValidations count="2">
    <dataValidation type="list" allowBlank="1" showInputMessage="1" showErrorMessage="1" sqref="C6 I3:I8" xr:uid="{9929690A-4AE1-408F-8819-8D2D337983E3}">
      <formula1>"Male, Female"</formula1>
    </dataValidation>
    <dataValidation type="list" allowBlank="1" showInputMessage="1" showErrorMessage="1" sqref="C7 J3:J8" xr:uid="{2A016A33-28A0-4917-8A7D-24FAECED0F79}">
      <formula1>"Yes, No"</formula1>
    </dataValidation>
  </dataValidations>
  <pageMargins left="0.7" right="0.7" top="0.75" bottom="0.75" header="0.3" footer="0.3"/>
  <drawing r:id="rId2"/>
  <tableParts count="1">
    <tablePart r:id="rId3"/>
  </tableParts>
</worksheet>
</file>

<file path=docMetadata/LabelInfo.xml><?xml version="1.0" encoding="utf-8"?>
<clbl:labelList xmlns:clbl="http://schemas.microsoft.com/office/2020/mipLabelMetadata">
  <clbl:label id="{919bd3ba-076a-412c-85cd-32b92fcecb5d}" enabled="0" method="" siteId="{919bd3ba-076a-412c-85cd-32b92fcecb5d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S&amp;P500 2025</vt:lpstr>
      <vt:lpstr>Chase CD Calculator</vt:lpstr>
      <vt:lpstr>Client 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Mengjin Sun</dc:creator>
  <cp:lastModifiedBy>Mengjin Sun</cp:lastModifiedBy>
  <dcterms:created xsi:type="dcterms:W3CDTF">2015-06-05T18:17:20Z</dcterms:created>
  <dcterms:modified xsi:type="dcterms:W3CDTF">2026-01-29T15:57:44Z</dcterms:modified>
</cp:coreProperties>
</file>